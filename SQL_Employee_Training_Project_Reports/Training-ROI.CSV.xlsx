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st_Projects\GitHub_Doc\"/>
    </mc:Choice>
  </mc:AlternateContent>
  <xr:revisionPtr revIDLastSave="0" documentId="13_ncr:1_{A4618FCB-6987-465E-876D-D0A8897FE429}" xr6:coauthVersionLast="47" xr6:coauthVersionMax="47" xr10:uidLastSave="{00000000-0000-0000-0000-000000000000}"/>
  <bookViews>
    <workbookView xWindow="11424" yWindow="0" windowWidth="11712" windowHeight="13056" xr2:uid="{B5B43CDB-96DC-4B40-B17A-A77EB0FD67BA}"/>
  </bookViews>
  <sheets>
    <sheet name="Training_ROI_Analysis" sheetId="4" r:id="rId1"/>
    <sheet name="Raw Data" sheetId="1" r:id="rId2"/>
  </sheets>
  <externalReferences>
    <externalReference r:id="rId3"/>
  </externalReferences>
  <calcPr calcId="19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  <c r="H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I2" i="1"/>
  <c r="I3" i="1"/>
  <c r="I4" i="1"/>
  <c r="I5" i="1"/>
  <c r="I6" i="1"/>
  <c r="I7" i="1"/>
  <c r="I8" i="1"/>
  <c r="I9" i="1"/>
  <c r="I10" i="1"/>
  <c r="I11" i="1"/>
</calcChain>
</file>

<file path=xl/sharedStrings.xml><?xml version="1.0" encoding="utf-8"?>
<sst xmlns="http://schemas.openxmlformats.org/spreadsheetml/2006/main" count="53" uniqueCount="43">
  <si>
    <t>Sess_id</t>
  </si>
  <si>
    <t>sess_name</t>
  </si>
  <si>
    <t>Skill_id</t>
  </si>
  <si>
    <t>Session_cost</t>
  </si>
  <si>
    <t>Emp_id</t>
  </si>
  <si>
    <t>Se01</t>
  </si>
  <si>
    <t>Master class</t>
  </si>
  <si>
    <t>S01</t>
  </si>
  <si>
    <t>Se02</t>
  </si>
  <si>
    <t>Python MasterClass</t>
  </si>
  <si>
    <t>S02</t>
  </si>
  <si>
    <t>Se03</t>
  </si>
  <si>
    <t>Master Media</t>
  </si>
  <si>
    <t>S03</t>
  </si>
  <si>
    <t>Se04</t>
  </si>
  <si>
    <t>Cyber Training</t>
  </si>
  <si>
    <t>S04</t>
  </si>
  <si>
    <t>Se05</t>
  </si>
  <si>
    <t>Management class</t>
  </si>
  <si>
    <t>S05</t>
  </si>
  <si>
    <t>Se06</t>
  </si>
  <si>
    <t>IT Support class</t>
  </si>
  <si>
    <t>S06</t>
  </si>
  <si>
    <t>Se07</t>
  </si>
  <si>
    <t>Learn Cooking</t>
  </si>
  <si>
    <t>S07</t>
  </si>
  <si>
    <t>Se08</t>
  </si>
  <si>
    <t>Sale storytelling</t>
  </si>
  <si>
    <t>S08</t>
  </si>
  <si>
    <t>Se09</t>
  </si>
  <si>
    <t>Master MS Excel</t>
  </si>
  <si>
    <t>S09</t>
  </si>
  <si>
    <t>Se10</t>
  </si>
  <si>
    <t>Master JavaScript</t>
  </si>
  <si>
    <t>S10</t>
  </si>
  <si>
    <t>First Name</t>
  </si>
  <si>
    <t>Last Name</t>
  </si>
  <si>
    <t>Effective Score</t>
  </si>
  <si>
    <t>Training Score</t>
  </si>
  <si>
    <t>Grand Total</t>
  </si>
  <si>
    <t>Trainning Session</t>
  </si>
  <si>
    <t xml:space="preserve"> Session_cost</t>
  </si>
  <si>
    <t>Training ROI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</si>
</sst>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2" tint="-0.89999084444715716"/>
      <name val="Segoe UI"/>
      <family val="2"/>
    </font>
    <font>
      <sz val="11"/>
      <color theme="2" tint="-0.89999084444715716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vertical="center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NumberFormat="1" applyBorder="1"/>
  </cellXfs>
  <cellStyles count="1">
    <cellStyle name="Normal" xfId="0" builtinId="0"/>
  </cellStyles>
  <dxfs count="30"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[Training-ROI.CSV.xlsx]Training_ROI_Analysis!PivotTable25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Training_ROI_Analysis!$B$3</c:f>
              <c:strCache>
                <c:ptCount val="1"/>
                <c:pt idx="0">
                  <c:v> Session_cost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Training_ROI_Analysis!$A$4:$A$14</c:f>
              <c:strCache>
                <c:ptCount val="10"/>
                <c:pt idx="0">
                  <c:v>Master Media</c:v>
                </c:pt>
                <c:pt idx="1">
                  <c:v>Management class</c:v>
                </c:pt>
                <c:pt idx="2">
                  <c:v>Master class</c:v>
                </c:pt>
                <c:pt idx="3">
                  <c:v>Learn Cooking</c:v>
                </c:pt>
                <c:pt idx="4">
                  <c:v>IT Support class</c:v>
                </c:pt>
                <c:pt idx="5">
                  <c:v>Python MasterClass</c:v>
                </c:pt>
                <c:pt idx="6">
                  <c:v>Sale storytelling</c:v>
                </c:pt>
                <c:pt idx="7">
                  <c:v>Cyber Training</c:v>
                </c:pt>
                <c:pt idx="8">
                  <c:v>Master MS Excel</c:v>
                </c:pt>
                <c:pt idx="9">
                  <c:v>Master JavaScript</c:v>
                </c:pt>
              </c:strCache>
            </c:strRef>
          </c:cat>
          <c:val>
            <c:numRef>
              <c:f>Training_ROI_Analysis!$B$4:$B$14</c:f>
              <c:numCache>
                <c:formatCode>General</c:formatCode>
                <c:ptCount val="10"/>
                <c:pt idx="0">
                  <c:v>399</c:v>
                </c:pt>
                <c:pt idx="1">
                  <c:v>499</c:v>
                </c:pt>
                <c:pt idx="2">
                  <c:v>599</c:v>
                </c:pt>
                <c:pt idx="3">
                  <c:v>699</c:v>
                </c:pt>
                <c:pt idx="4">
                  <c:v>799</c:v>
                </c:pt>
                <c:pt idx="5">
                  <c:v>1299</c:v>
                </c:pt>
                <c:pt idx="6">
                  <c:v>1299</c:v>
                </c:pt>
                <c:pt idx="7">
                  <c:v>1399</c:v>
                </c:pt>
                <c:pt idx="8">
                  <c:v>1899</c:v>
                </c:pt>
                <c:pt idx="9">
                  <c:v>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63-459F-857E-261EA895B662}"/>
            </c:ext>
          </c:extLst>
        </c:ser>
        <c:ser>
          <c:idx val="1"/>
          <c:order val="1"/>
          <c:tx>
            <c:strRef>
              <c:f>Training_ROI_Analysis!$C$3</c:f>
              <c:strCache>
                <c:ptCount val="1"/>
                <c:pt idx="0">
                  <c:v>Training ROI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Training_ROI_Analysis!$A$4:$A$14</c:f>
              <c:strCache>
                <c:ptCount val="10"/>
                <c:pt idx="0">
                  <c:v>Master Media</c:v>
                </c:pt>
                <c:pt idx="1">
                  <c:v>Management class</c:v>
                </c:pt>
                <c:pt idx="2">
                  <c:v>Master class</c:v>
                </c:pt>
                <c:pt idx="3">
                  <c:v>Learn Cooking</c:v>
                </c:pt>
                <c:pt idx="4">
                  <c:v>IT Support class</c:v>
                </c:pt>
                <c:pt idx="5">
                  <c:v>Python MasterClass</c:v>
                </c:pt>
                <c:pt idx="6">
                  <c:v>Sale storytelling</c:v>
                </c:pt>
                <c:pt idx="7">
                  <c:v>Cyber Training</c:v>
                </c:pt>
                <c:pt idx="8">
                  <c:v>Master MS Excel</c:v>
                </c:pt>
                <c:pt idx="9">
                  <c:v>Master JavaScript</c:v>
                </c:pt>
              </c:strCache>
            </c:strRef>
          </c:cat>
          <c:val>
            <c:numRef>
              <c:f>Training_ROI_Analysis!$C$4:$C$14</c:f>
              <c:numCache>
                <c:formatCode>General</c:formatCode>
                <c:ptCount val="10"/>
                <c:pt idx="0">
                  <c:v>22.806999999999999</c:v>
                </c:pt>
                <c:pt idx="1">
                  <c:v>19.638999999999999</c:v>
                </c:pt>
                <c:pt idx="2">
                  <c:v>16.693999999999999</c:v>
                </c:pt>
                <c:pt idx="3">
                  <c:v>14.02</c:v>
                </c:pt>
                <c:pt idx="4">
                  <c:v>11.263999999999999</c:v>
                </c:pt>
                <c:pt idx="5">
                  <c:v>7.5439999999999996</c:v>
                </c:pt>
                <c:pt idx="6">
                  <c:v>7.1589999999999998</c:v>
                </c:pt>
                <c:pt idx="7">
                  <c:v>6.8620000000000001</c:v>
                </c:pt>
                <c:pt idx="8">
                  <c:v>5.2130000000000001</c:v>
                </c:pt>
                <c:pt idx="9">
                  <c:v>3.3340000000000001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63-459F-857E-261EA895B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81678687"/>
        <c:axId val="1981674847"/>
        <c:axId val="0"/>
      </c:bar3DChart>
      <c:catAx>
        <c:axId val="198167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74847"/>
        <c:crosses val="autoZero"/>
        <c:auto val="1"/>
        <c:lblAlgn val="ctr"/>
        <c:lblOffset val="100"/>
        <c:noMultiLvlLbl val="0"/>
      </c:catAx>
      <c:valAx>
        <c:axId val="198167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1678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167640</xdr:rowOff>
    </xdr:from>
    <xdr:to>
      <xdr:col>10</xdr:col>
      <xdr:colOff>190500</xdr:colOff>
      <xdr:row>14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175273-B8E9-7878-098C-4C44F5BCC4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a_Analyst_Projects\SQL_Projects_\Data%20Folder\Query_data.xlsx" TargetMode="External"/><Relationship Id="rId1" Type="http://schemas.openxmlformats.org/officeDocument/2006/relationships/externalLinkPath" Target="/Data_Analyst_Projects/SQL_Projects_/Data%20Folder/Query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s"/>
      <sheetName val="Skills"/>
      <sheetName val="Future Course "/>
      <sheetName val="Future Course"/>
      <sheetName val="Emp_Skill"/>
      <sheetName val="Emp_Pivot"/>
      <sheetName val="Emp_skil_IDl"/>
      <sheetName val="Critical Skill Gap"/>
      <sheetName val="Training"/>
      <sheetName val="Sheet11"/>
      <sheetName val="ROI RAW"/>
      <sheetName val="Gap_Analysis"/>
      <sheetName val="Sheet16"/>
      <sheetName val="Productivity "/>
    </sheetNames>
    <sheetDataSet>
      <sheetData sheetId="0">
        <row r="2">
          <cell r="A2">
            <v>1</v>
          </cell>
          <cell r="B2" t="str">
            <v>Robert</v>
          </cell>
          <cell r="C2" t="str">
            <v>John</v>
          </cell>
        </row>
        <row r="3">
          <cell r="A3">
            <v>2</v>
          </cell>
          <cell r="B3" t="str">
            <v>Sam</v>
          </cell>
          <cell r="C3" t="str">
            <v>Tom</v>
          </cell>
        </row>
        <row r="4">
          <cell r="A4">
            <v>3</v>
          </cell>
          <cell r="B4" t="str">
            <v>Sherly</v>
          </cell>
          <cell r="C4" t="str">
            <v>Nick</v>
          </cell>
        </row>
        <row r="5">
          <cell r="A5">
            <v>4</v>
          </cell>
          <cell r="B5" t="str">
            <v>Chandler</v>
          </cell>
          <cell r="C5" t="str">
            <v>Bing</v>
          </cell>
        </row>
        <row r="6">
          <cell r="A6">
            <v>5</v>
          </cell>
          <cell r="B6" t="str">
            <v>Chi</v>
          </cell>
          <cell r="C6" t="str">
            <v>Ling</v>
          </cell>
        </row>
        <row r="7">
          <cell r="A7">
            <v>6</v>
          </cell>
          <cell r="B7" t="str">
            <v>Max</v>
          </cell>
          <cell r="C7" t="str">
            <v>Johnson</v>
          </cell>
        </row>
        <row r="8">
          <cell r="A8">
            <v>7</v>
          </cell>
          <cell r="B8" t="str">
            <v>Monica</v>
          </cell>
          <cell r="C8" t="str">
            <v>Gellerd</v>
          </cell>
        </row>
        <row r="9">
          <cell r="A9">
            <v>8</v>
          </cell>
          <cell r="B9" t="str">
            <v>Alice</v>
          </cell>
          <cell r="C9" t="str">
            <v>W</v>
          </cell>
        </row>
        <row r="10">
          <cell r="A10">
            <v>9</v>
          </cell>
          <cell r="B10" t="str">
            <v>Carol</v>
          </cell>
          <cell r="C10" t="str">
            <v>Davis</v>
          </cell>
        </row>
        <row r="11">
          <cell r="A11">
            <v>10</v>
          </cell>
          <cell r="B11" t="str">
            <v>Emily</v>
          </cell>
          <cell r="C11" t="str">
            <v>Wilson</v>
          </cell>
        </row>
        <row r="12">
          <cell r="A12">
            <v>11</v>
          </cell>
          <cell r="B12" t="str">
            <v>Ronny</v>
          </cell>
          <cell r="C12" t="str">
            <v>Chan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NUSHRI" refreshedDate="45981.011259375002" createdVersion="8" refreshedVersion="8" minRefreshableVersion="3" recordCount="10" xr:uid="{D4D8B435-DA38-4741-90D1-1F0E7F59EF5A}">
  <cacheSource type="worksheet">
    <worksheetSource ref="A1:I11" sheet="Raw Data"/>
  </cacheSource>
  <cacheFields count="9">
    <cacheField name="Sess_id" numFmtId="0">
      <sharedItems/>
    </cacheField>
    <cacheField name="sess_name" numFmtId="0">
      <sharedItems count="10">
        <s v="Master class"/>
        <s v="Python MasterClass"/>
        <s v="Master Media"/>
        <s v="Cyber Training"/>
        <s v="Management class"/>
        <s v="IT Support class"/>
        <s v="Learn Cooking"/>
        <s v="Sale storytelling"/>
        <s v="Master MS Excel"/>
        <s v="Master JavaScript"/>
      </sharedItems>
    </cacheField>
    <cacheField name="Skill_id" numFmtId="0">
      <sharedItems/>
    </cacheField>
    <cacheField name="Session_cost" numFmtId="0">
      <sharedItems containsSemiMixedTypes="0" containsString="0" containsNumber="1" containsInteger="1" minValue="399" maxValue="2999"/>
    </cacheField>
    <cacheField name="Effective Score" numFmtId="0">
      <sharedItems containsSemiMixedTypes="0" containsString="0" containsNumber="1" containsInteger="1" minValue="90" maxValue="100"/>
    </cacheField>
    <cacheField name="Emp_id" numFmtId="0">
      <sharedItems containsSemiMixedTypes="0" containsString="0" containsNumber="1" containsInteger="1" minValue="1" maxValue="10"/>
    </cacheField>
    <cacheField name="First Name" numFmtId="0">
      <sharedItems/>
    </cacheField>
    <cacheField name="Last Name" numFmtId="0">
      <sharedItems/>
    </cacheField>
    <cacheField name="Training Score" numFmtId="0">
      <sharedItems containsSemiMixedTypes="0" containsString="0" containsNumber="1" minValue="3.3340000000000001" maxValue="22.806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s v="Se01"/>
    <x v="0"/>
    <s v="S01"/>
    <n v="599"/>
    <n v="100"/>
    <n v="1"/>
    <s v="Robert"/>
    <s v="John"/>
    <n v="16.693999999999999"/>
  </r>
  <r>
    <s v="Se02"/>
    <x v="1"/>
    <s v="S02"/>
    <n v="1299"/>
    <n v="98"/>
    <n v="2"/>
    <s v="Sam"/>
    <s v="Tom"/>
    <n v="7.5439999999999996"/>
  </r>
  <r>
    <s v="Se03"/>
    <x v="2"/>
    <s v="S03"/>
    <n v="399"/>
    <n v="91"/>
    <n v="3"/>
    <s v="Sherly"/>
    <s v="Nick"/>
    <n v="22.806999999999999"/>
  </r>
  <r>
    <s v="Se04"/>
    <x v="3"/>
    <s v="S04"/>
    <n v="1399"/>
    <n v="96"/>
    <n v="4"/>
    <s v="Chandler"/>
    <s v="Bing"/>
    <n v="6.8620000000000001"/>
  </r>
  <r>
    <s v="Se05"/>
    <x v="4"/>
    <s v="S05"/>
    <n v="499"/>
    <n v="98"/>
    <n v="5"/>
    <s v="Chi"/>
    <s v="Ling"/>
    <n v="19.638999999999999"/>
  </r>
  <r>
    <s v="Se06"/>
    <x v="5"/>
    <s v="S06"/>
    <n v="799"/>
    <n v="90"/>
    <n v="6"/>
    <s v="Max"/>
    <s v="Johnson"/>
    <n v="11.263999999999999"/>
  </r>
  <r>
    <s v="Se07"/>
    <x v="6"/>
    <s v="S07"/>
    <n v="699"/>
    <n v="98"/>
    <n v="7"/>
    <s v="Monica"/>
    <s v="Gellerd"/>
    <n v="14.02"/>
  </r>
  <r>
    <s v="Se08"/>
    <x v="7"/>
    <s v="S08"/>
    <n v="1299"/>
    <n v="93"/>
    <n v="8"/>
    <s v="Alice"/>
    <s v="W"/>
    <n v="7.1589999999999998"/>
  </r>
  <r>
    <s v="Se09"/>
    <x v="8"/>
    <s v="S09"/>
    <n v="1899"/>
    <n v="99"/>
    <n v="9"/>
    <s v="Carol"/>
    <s v="Davis"/>
    <n v="5.2130000000000001"/>
  </r>
  <r>
    <s v="Se10"/>
    <x v="9"/>
    <s v="S10"/>
    <n v="2999"/>
    <n v="100"/>
    <n v="10"/>
    <s v="Emily"/>
    <s v="Wilson"/>
    <n v="3.3340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473803-AAF0-4874-A9F0-D3B22D511A62}" name="PivotTable2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Trainning Session">
  <location ref="A3:C14" firstHeaderRow="0" firstDataRow="1" firstDataCol="1"/>
  <pivotFields count="9">
    <pivotField showAll="0"/>
    <pivotField axis="axisRow" showAll="0" sortType="descending">
      <items count="11">
        <item x="3"/>
        <item x="5"/>
        <item x="6"/>
        <item x="4"/>
        <item x="0"/>
        <item x="9"/>
        <item x="2"/>
        <item x="8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dataField="1" showAll="0"/>
  </pivotFields>
  <rowFields count="1">
    <field x="1"/>
  </rowFields>
  <rowItems count="11">
    <i>
      <x v="6"/>
    </i>
    <i>
      <x v="3"/>
    </i>
    <i>
      <x v="4"/>
    </i>
    <i>
      <x v="2"/>
    </i>
    <i>
      <x v="1"/>
    </i>
    <i>
      <x v="8"/>
    </i>
    <i>
      <x v="9"/>
    </i>
    <i>
      <x/>
    </i>
    <i>
      <x v="7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 Session_cost" fld="3" baseField="0" baseItem="0"/>
    <dataField name="Training ROI Score" fld="8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fieldPosition="0">
        <references count="1">
          <reference field="1" count="0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D0C5B-B86E-4BE5-BB73-69E610998BE0}">
  <dimension ref="A3:C14"/>
  <sheetViews>
    <sheetView tabSelected="1" workbookViewId="0">
      <selection activeCell="E22" sqref="E22"/>
    </sheetView>
  </sheetViews>
  <sheetFormatPr defaultRowHeight="14.4" x14ac:dyDescent="0.3"/>
  <cols>
    <col min="1" max="1" width="17.21875" bestFit="1" customWidth="1"/>
    <col min="2" max="2" width="18.33203125" bestFit="1" customWidth="1"/>
    <col min="3" max="3" width="19.5546875" bestFit="1" customWidth="1"/>
  </cols>
  <sheetData>
    <row r="3" spans="1:3" x14ac:dyDescent="0.3">
      <c r="A3" s="6" t="s">
        <v>40</v>
      </c>
      <c r="B3" s="4" t="s">
        <v>41</v>
      </c>
      <c r="C3" s="4" t="s">
        <v>42</v>
      </c>
    </row>
    <row r="4" spans="1:3" x14ac:dyDescent="0.3">
      <c r="A4" s="7" t="s">
        <v>12</v>
      </c>
      <c r="B4" s="8">
        <v>399</v>
      </c>
      <c r="C4" s="8">
        <v>22.806999999999999</v>
      </c>
    </row>
    <row r="5" spans="1:3" x14ac:dyDescent="0.3">
      <c r="A5" s="7" t="s">
        <v>18</v>
      </c>
      <c r="B5" s="8">
        <v>499</v>
      </c>
      <c r="C5" s="8">
        <v>19.638999999999999</v>
      </c>
    </row>
    <row r="6" spans="1:3" x14ac:dyDescent="0.3">
      <c r="A6" s="7" t="s">
        <v>6</v>
      </c>
      <c r="B6" s="8">
        <v>599</v>
      </c>
      <c r="C6" s="8">
        <v>16.693999999999999</v>
      </c>
    </row>
    <row r="7" spans="1:3" x14ac:dyDescent="0.3">
      <c r="A7" s="7" t="s">
        <v>24</v>
      </c>
      <c r="B7" s="8">
        <v>699</v>
      </c>
      <c r="C7" s="8">
        <v>14.02</v>
      </c>
    </row>
    <row r="8" spans="1:3" x14ac:dyDescent="0.3">
      <c r="A8" s="7" t="s">
        <v>21</v>
      </c>
      <c r="B8" s="8">
        <v>799</v>
      </c>
      <c r="C8" s="8">
        <v>11.263999999999999</v>
      </c>
    </row>
    <row r="9" spans="1:3" x14ac:dyDescent="0.3">
      <c r="A9" s="7" t="s">
        <v>9</v>
      </c>
      <c r="B9" s="8">
        <v>1299</v>
      </c>
      <c r="C9" s="8">
        <v>7.5439999999999996</v>
      </c>
    </row>
    <row r="10" spans="1:3" x14ac:dyDescent="0.3">
      <c r="A10" s="7" t="s">
        <v>27</v>
      </c>
      <c r="B10" s="8">
        <v>1299</v>
      </c>
      <c r="C10" s="8">
        <v>7.1589999999999998</v>
      </c>
    </row>
    <row r="11" spans="1:3" x14ac:dyDescent="0.3">
      <c r="A11" s="7" t="s">
        <v>15</v>
      </c>
      <c r="B11" s="8">
        <v>1399</v>
      </c>
      <c r="C11" s="8">
        <v>6.8620000000000001</v>
      </c>
    </row>
    <row r="12" spans="1:3" x14ac:dyDescent="0.3">
      <c r="A12" s="7" t="s">
        <v>30</v>
      </c>
      <c r="B12" s="8">
        <v>1899</v>
      </c>
      <c r="C12" s="8">
        <v>5.2130000000000001</v>
      </c>
    </row>
    <row r="13" spans="1:3" x14ac:dyDescent="0.3">
      <c r="A13" s="7" t="s">
        <v>33</v>
      </c>
      <c r="B13" s="8">
        <v>2999</v>
      </c>
      <c r="C13" s="8">
        <v>3.3340000000000001</v>
      </c>
    </row>
    <row r="14" spans="1:3" x14ac:dyDescent="0.3">
      <c r="A14" s="7" t="s">
        <v>39</v>
      </c>
      <c r="B14" s="8">
        <v>11890</v>
      </c>
      <c r="C14" s="8">
        <v>114.536</v>
      </c>
    </row>
  </sheetData>
  <conditionalFormatting pivot="1" sqref="C4:C1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BF19B-6394-4D1B-8C90-70F8385C0CD6}">
  <dimension ref="A1:I11"/>
  <sheetViews>
    <sheetView zoomScale="98" zoomScaleNormal="98" workbookViewId="0">
      <selection activeCell="G19" sqref="G19"/>
    </sheetView>
  </sheetViews>
  <sheetFormatPr defaultRowHeight="14.4" x14ac:dyDescent="0.3"/>
  <cols>
    <col min="1" max="1" width="7.5546875" bestFit="1" customWidth="1"/>
    <col min="2" max="2" width="18.77734375" bestFit="1" customWidth="1"/>
    <col min="3" max="3" width="7.44140625" bestFit="1" customWidth="1"/>
    <col min="4" max="4" width="12.6640625" bestFit="1" customWidth="1"/>
    <col min="5" max="5" width="15.5546875" bestFit="1" customWidth="1"/>
    <col min="6" max="6" width="7.6640625" bestFit="1" customWidth="1"/>
    <col min="7" max="7" width="11.33203125" bestFit="1" customWidth="1"/>
    <col min="8" max="8" width="11.109375" bestFit="1" customWidth="1"/>
    <col min="9" max="9" width="9.109375" bestFit="1" customWidth="1"/>
  </cols>
  <sheetData>
    <row r="1" spans="1:9" ht="33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37</v>
      </c>
      <c r="F1" s="1" t="s">
        <v>4</v>
      </c>
      <c r="G1" s="1" t="s">
        <v>35</v>
      </c>
      <c r="H1" s="1" t="s">
        <v>36</v>
      </c>
      <c r="I1" s="3" t="s">
        <v>38</v>
      </c>
    </row>
    <row r="2" spans="1:9" ht="16.8" x14ac:dyDescent="0.3">
      <c r="A2" s="2" t="s">
        <v>5</v>
      </c>
      <c r="B2" s="5" t="s">
        <v>6</v>
      </c>
      <c r="C2" s="2" t="s">
        <v>7</v>
      </c>
      <c r="D2" s="2">
        <v>599</v>
      </c>
      <c r="E2" s="2">
        <v>100</v>
      </c>
      <c r="F2" s="2">
        <v>1</v>
      </c>
      <c r="G2" s="4" t="str">
        <f>_xlfn.XLOOKUP(F2,[1]Emps!$A$2:$A$12,[1]Emps!$B$2:$B$12)</f>
        <v>Robert</v>
      </c>
      <c r="H2" s="4" t="str">
        <f>_xlfn.XLOOKUP(F2,[1]Emps!$A$2:$A$12,[1]Emps!$C$2:$C$12)</f>
        <v>John</v>
      </c>
      <c r="I2" s="4">
        <f>ROUND((E2/D2*100),3)</f>
        <v>16.693999999999999</v>
      </c>
    </row>
    <row r="3" spans="1:9" ht="16.8" x14ac:dyDescent="0.3">
      <c r="A3" s="2" t="s">
        <v>8</v>
      </c>
      <c r="B3" s="5" t="s">
        <v>9</v>
      </c>
      <c r="C3" s="2" t="s">
        <v>10</v>
      </c>
      <c r="D3" s="2">
        <v>1299</v>
      </c>
      <c r="E3" s="2">
        <v>98</v>
      </c>
      <c r="F3" s="2">
        <v>2</v>
      </c>
      <c r="G3" s="4" t="str">
        <f>_xlfn.XLOOKUP(F3,[1]Emps!$A$2:$A$12,[1]Emps!$B$2:$B$12)</f>
        <v>Sam</v>
      </c>
      <c r="H3" s="4" t="str">
        <f>_xlfn.XLOOKUP(F3,[1]Emps!$A$2:$A$12,[1]Emps!$C$2:$C$12)</f>
        <v>Tom</v>
      </c>
      <c r="I3" s="4">
        <f t="shared" ref="I3:I11" si="0">ROUND((E3/D3*100),3)</f>
        <v>7.5439999999999996</v>
      </c>
    </row>
    <row r="4" spans="1:9" ht="16.8" x14ac:dyDescent="0.3">
      <c r="A4" s="2" t="s">
        <v>11</v>
      </c>
      <c r="B4" s="5" t="s">
        <v>12</v>
      </c>
      <c r="C4" s="2" t="s">
        <v>13</v>
      </c>
      <c r="D4" s="2">
        <v>399</v>
      </c>
      <c r="E4" s="2">
        <v>91</v>
      </c>
      <c r="F4" s="2">
        <v>3</v>
      </c>
      <c r="G4" s="4" t="str">
        <f>_xlfn.XLOOKUP(F4,[1]Emps!$A$2:$A$12,[1]Emps!$B$2:$B$12)</f>
        <v>Sherly</v>
      </c>
      <c r="H4" s="4" t="str">
        <f>_xlfn.XLOOKUP(F4,[1]Emps!$A$2:$A$12,[1]Emps!$C$2:$C$12)</f>
        <v>Nick</v>
      </c>
      <c r="I4" s="4">
        <f t="shared" si="0"/>
        <v>22.806999999999999</v>
      </c>
    </row>
    <row r="5" spans="1:9" ht="16.8" x14ac:dyDescent="0.3">
      <c r="A5" s="2" t="s">
        <v>14</v>
      </c>
      <c r="B5" s="5" t="s">
        <v>15</v>
      </c>
      <c r="C5" s="2" t="s">
        <v>16</v>
      </c>
      <c r="D5" s="2">
        <v>1399</v>
      </c>
      <c r="E5" s="2">
        <v>96</v>
      </c>
      <c r="F5" s="2">
        <v>4</v>
      </c>
      <c r="G5" s="4" t="str">
        <f>_xlfn.XLOOKUP(F5,[1]Emps!$A$2:$A$12,[1]Emps!$B$2:$B$12)</f>
        <v>Chandler</v>
      </c>
      <c r="H5" s="4" t="str">
        <f>_xlfn.XLOOKUP(F5,[1]Emps!$A$2:$A$12,[1]Emps!$C$2:$C$12)</f>
        <v>Bing</v>
      </c>
      <c r="I5" s="4">
        <f t="shared" si="0"/>
        <v>6.8620000000000001</v>
      </c>
    </row>
    <row r="6" spans="1:9" ht="16.8" x14ac:dyDescent="0.3">
      <c r="A6" s="2" t="s">
        <v>17</v>
      </c>
      <c r="B6" s="5" t="s">
        <v>18</v>
      </c>
      <c r="C6" s="2" t="s">
        <v>19</v>
      </c>
      <c r="D6" s="2">
        <v>499</v>
      </c>
      <c r="E6" s="2">
        <v>98</v>
      </c>
      <c r="F6" s="2">
        <v>5</v>
      </c>
      <c r="G6" s="4" t="str">
        <f>_xlfn.XLOOKUP(F6,[1]Emps!$A$2:$A$12,[1]Emps!$B$2:$B$12)</f>
        <v>Chi</v>
      </c>
      <c r="H6" s="4" t="str">
        <f>_xlfn.XLOOKUP(F6,[1]Emps!$A$2:$A$12,[1]Emps!$C$2:$C$12)</f>
        <v>Ling</v>
      </c>
      <c r="I6" s="4">
        <f t="shared" si="0"/>
        <v>19.638999999999999</v>
      </c>
    </row>
    <row r="7" spans="1:9" ht="16.8" x14ac:dyDescent="0.3">
      <c r="A7" s="2" t="s">
        <v>20</v>
      </c>
      <c r="B7" s="5" t="s">
        <v>21</v>
      </c>
      <c r="C7" s="2" t="s">
        <v>22</v>
      </c>
      <c r="D7" s="2">
        <v>799</v>
      </c>
      <c r="E7" s="2">
        <v>90</v>
      </c>
      <c r="F7" s="2">
        <v>6</v>
      </c>
      <c r="G7" s="4" t="str">
        <f>_xlfn.XLOOKUP(F7,[1]Emps!$A$2:$A$12,[1]Emps!$B$2:$B$12)</f>
        <v>Max</v>
      </c>
      <c r="H7" s="4" t="str">
        <f>_xlfn.XLOOKUP(F7,[1]Emps!$A$2:$A$12,[1]Emps!$C$2:$C$12)</f>
        <v>Johnson</v>
      </c>
      <c r="I7" s="4">
        <f t="shared" si="0"/>
        <v>11.263999999999999</v>
      </c>
    </row>
    <row r="8" spans="1:9" ht="16.8" x14ac:dyDescent="0.3">
      <c r="A8" s="2" t="s">
        <v>23</v>
      </c>
      <c r="B8" s="5" t="s">
        <v>24</v>
      </c>
      <c r="C8" s="2" t="s">
        <v>25</v>
      </c>
      <c r="D8" s="2">
        <v>699</v>
      </c>
      <c r="E8" s="2">
        <v>98</v>
      </c>
      <c r="F8" s="2">
        <v>7</v>
      </c>
      <c r="G8" s="4" t="str">
        <f>_xlfn.XLOOKUP(F8,[1]Emps!$A$2:$A$12,[1]Emps!$B$2:$B$12)</f>
        <v>Monica</v>
      </c>
      <c r="H8" s="4" t="str">
        <f>_xlfn.XLOOKUP(F8,[1]Emps!$A$2:$A$12,[1]Emps!$C$2:$C$12)</f>
        <v>Gellerd</v>
      </c>
      <c r="I8" s="4">
        <f t="shared" si="0"/>
        <v>14.02</v>
      </c>
    </row>
    <row r="9" spans="1:9" ht="16.8" x14ac:dyDescent="0.3">
      <c r="A9" s="2" t="s">
        <v>26</v>
      </c>
      <c r="B9" s="5" t="s">
        <v>27</v>
      </c>
      <c r="C9" s="2" t="s">
        <v>28</v>
      </c>
      <c r="D9" s="2">
        <v>1299</v>
      </c>
      <c r="E9" s="2">
        <v>93</v>
      </c>
      <c r="F9" s="2">
        <v>8</v>
      </c>
      <c r="G9" s="4" t="str">
        <f>_xlfn.XLOOKUP(F9,[1]Emps!$A$2:$A$12,[1]Emps!$B$2:$B$12)</f>
        <v>Alice</v>
      </c>
      <c r="H9" s="4" t="str">
        <f>_xlfn.XLOOKUP(F9,[1]Emps!$A$2:$A$12,[1]Emps!$C$2:$C$12)</f>
        <v>W</v>
      </c>
      <c r="I9" s="4">
        <f t="shared" si="0"/>
        <v>7.1589999999999998</v>
      </c>
    </row>
    <row r="10" spans="1:9" ht="16.8" x14ac:dyDescent="0.3">
      <c r="A10" s="2" t="s">
        <v>29</v>
      </c>
      <c r="B10" s="2" t="s">
        <v>30</v>
      </c>
      <c r="C10" s="2" t="s">
        <v>31</v>
      </c>
      <c r="D10" s="2">
        <v>1899</v>
      </c>
      <c r="E10" s="2">
        <v>99</v>
      </c>
      <c r="F10" s="2">
        <v>9</v>
      </c>
      <c r="G10" s="4" t="str">
        <f>_xlfn.XLOOKUP(F10,[1]Emps!$A$2:$A$12,[1]Emps!$B$2:$B$12)</f>
        <v>Carol</v>
      </c>
      <c r="H10" s="4" t="str">
        <f>_xlfn.XLOOKUP(F10,[1]Emps!$A$2:$A$12,[1]Emps!$C$2:$C$12)</f>
        <v>Davis</v>
      </c>
      <c r="I10" s="4">
        <f t="shared" si="0"/>
        <v>5.2130000000000001</v>
      </c>
    </row>
    <row r="11" spans="1:9" ht="16.8" x14ac:dyDescent="0.3">
      <c r="A11" s="2" t="s">
        <v>32</v>
      </c>
      <c r="B11" s="2" t="s">
        <v>33</v>
      </c>
      <c r="C11" s="2" t="s">
        <v>34</v>
      </c>
      <c r="D11" s="2">
        <v>2999</v>
      </c>
      <c r="E11" s="2">
        <v>100</v>
      </c>
      <c r="F11" s="2">
        <v>10</v>
      </c>
      <c r="G11" s="4" t="str">
        <f>_xlfn.XLOOKUP(F11,[1]Emps!$A$2:$A$12,[1]Emps!$B$2:$B$12)</f>
        <v>Emily</v>
      </c>
      <c r="H11" s="4" t="str">
        <f>_xlfn.XLOOKUP(F11,[1]Emps!$A$2:$A$12,[1]Emps!$C$2:$C$12)</f>
        <v>Wilson</v>
      </c>
      <c r="I11" s="4">
        <f t="shared" si="0"/>
        <v>3.3340000000000001</v>
      </c>
    </row>
  </sheetData>
  <conditionalFormatting sqref="I2:I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Training_ROI_Analysis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Tanushri Kale</dc:creator>
  <cp:lastModifiedBy>Tanushri Kale</cp:lastModifiedBy>
  <dcterms:created xsi:type="dcterms:W3CDTF">2025-11-19T17:58:42Z</dcterms:created>
  <dcterms:modified xsi:type="dcterms:W3CDTF">2025-11-20T14:58:30Z</dcterms:modified>
</cp:coreProperties>
</file>