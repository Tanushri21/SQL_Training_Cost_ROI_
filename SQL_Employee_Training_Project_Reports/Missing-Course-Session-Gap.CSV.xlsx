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t_Projects\GitHub_Doc\"/>
    </mc:Choice>
  </mc:AlternateContent>
  <xr:revisionPtr revIDLastSave="0" documentId="13_ncr:1_{07DA8BC4-DFA2-4DF7-8114-5808B312BBE7}" xr6:coauthVersionLast="47" xr6:coauthVersionMax="47" xr10:uidLastSave="{00000000-0000-0000-0000-000000000000}"/>
  <bookViews>
    <workbookView xWindow="-108" yWindow="-108" windowWidth="23256" windowHeight="13176" xr2:uid="{3A9293D3-A737-4E25-AE15-CB1BD76BD7A5}"/>
  </bookViews>
  <sheets>
    <sheet name="Missing-Course-Analysis" sheetId="5" r:id="rId1"/>
    <sheet name="Raw Data" sheetId="3" r:id="rId2"/>
  </sheets>
  <externalReferences>
    <externalReference r:id="rId3"/>
    <externalReference r:id="rId4"/>
  </externalReferences>
  <definedNames>
    <definedName name="_xlnm._FilterDatabase" localSheetId="1" hidden="1">'Raw Data'!$A$1:$G$1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E3" i="3" s="1"/>
  <c r="D4" i="3"/>
  <c r="E4" i="3" s="1"/>
  <c r="D5" i="3"/>
  <c r="D6" i="3"/>
  <c r="D7" i="3"/>
  <c r="E7" i="3" s="1"/>
  <c r="D8" i="3"/>
  <c r="E8" i="3" s="1"/>
  <c r="D9" i="3"/>
  <c r="E9" i="3" s="1"/>
  <c r="D10" i="3"/>
  <c r="D11" i="3"/>
  <c r="E11" i="3" s="1"/>
  <c r="D12" i="3"/>
  <c r="E12" i="3" s="1"/>
  <c r="D2" i="3"/>
  <c r="E2" i="3" s="1"/>
  <c r="E5" i="3"/>
  <c r="E6" i="3"/>
  <c r="E10" i="3"/>
  <c r="F9" i="3"/>
  <c r="G12" i="3"/>
  <c r="F12" i="3"/>
  <c r="G11" i="3" a="1"/>
  <c r="G11" i="3" s="1"/>
  <c r="F11" i="3"/>
  <c r="G10" i="3" a="1"/>
  <c r="G10" i="3" s="1"/>
  <c r="F10" i="3"/>
  <c r="G9" i="3" a="1"/>
  <c r="G9" i="3" s="1"/>
  <c r="G8" i="3" a="1"/>
  <c r="G8" i="3" s="1"/>
  <c r="F8" i="3"/>
  <c r="G7" i="3" a="1"/>
  <c r="G7" i="3" s="1"/>
  <c r="F7" i="3"/>
  <c r="G6" i="3" a="1"/>
  <c r="G6" i="3" s="1"/>
  <c r="F6" i="3"/>
  <c r="G5" i="3" a="1"/>
  <c r="G5" i="3" s="1"/>
  <c r="F5" i="3"/>
  <c r="G4" i="3" a="1"/>
  <c r="G4" i="3" s="1"/>
  <c r="F4" i="3"/>
  <c r="G3" i="3" a="1"/>
  <c r="G3" i="3" s="1"/>
  <c r="F3" i="3"/>
  <c r="G2" i="3" a="1"/>
  <c r="G2" i="3" s="1"/>
  <c r="F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<sst xmlns="http://schemas.openxmlformats.org/spreadsheetml/2006/main" count="56" uniqueCount="45">
  <si>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</si>
  <si>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</si>
  <si>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</si>
  <si>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</si>
  <si>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</si>
  <si>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</si>
  <si>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</si>
  <si>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</si>
  <si>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</si>
  <si>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</si>
  <si>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</si>
  <si>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Average Gap Score</t>
  </si>
  <si>
    <t>Has_Training</t>
  </si>
  <si>
    <t>Gap Score</t>
  </si>
  <si>
    <t>Skill_id</t>
  </si>
  <si>
    <t>Skill_name</t>
  </si>
  <si>
    <t>Category</t>
  </si>
  <si>
    <t>Missing Course</t>
  </si>
  <si>
    <t>Communication</t>
  </si>
  <si>
    <t>Market</t>
  </si>
  <si>
    <t>Python Programming</t>
  </si>
  <si>
    <t>Technicl</t>
  </si>
  <si>
    <t>Media Marketing</t>
  </si>
  <si>
    <t>Ecom</t>
  </si>
  <si>
    <t>Cyber security</t>
  </si>
  <si>
    <t>Cyber_Security</t>
  </si>
  <si>
    <t>Management</t>
  </si>
  <si>
    <t>Workspace Management</t>
  </si>
  <si>
    <t>IT Troubleshooting</t>
  </si>
  <si>
    <t>Technical Support</t>
  </si>
  <si>
    <t>Indian Cuisine</t>
  </si>
  <si>
    <t>South Asia Food</t>
  </si>
  <si>
    <t>Story Telling</t>
  </si>
  <si>
    <t>Sales &amp; Marketing</t>
  </si>
  <si>
    <t>Ms excel</t>
  </si>
  <si>
    <t>Bank Finance</t>
  </si>
  <si>
    <t>Developer</t>
  </si>
  <si>
    <t>App Development</t>
  </si>
  <si>
    <t>AI Ethics</t>
  </si>
  <si>
    <t>Compliance</t>
  </si>
  <si>
    <t>Grand Total</t>
  </si>
  <si>
    <t>Course ID</t>
  </si>
  <si>
    <t>Course Name</t>
  </si>
  <si>
    <t>Average Skill Gap</t>
  </si>
  <si>
    <t>Training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</si>
</sst>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2" tint="-0.89999084444715716"/>
      <name val="Segoe UI"/>
      <family val="2"/>
    </font>
    <font>
      <b/>
      <sz val="11"/>
      <color theme="2" tint="-0.89999084444715716"/>
      <name val="Segoe U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2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[Missing-Course-Session-Gap.CSV.xlsx]Missing-Course-Analysis!PivotTable3</c:name>
    <c:fmtId val="2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'Missing-Course-Analysis'!$B$1</c:f>
              <c:strCache>
                <c:ptCount val="1"/>
                <c:pt idx="0">
                  <c:v>Course 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'Missing-Course-Analysis'!$A$2:$A$13</c:f>
              <c:strCache>
                <c:ptCount val="11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</c:strCache>
            </c:strRef>
          </c:cat>
          <c:val>
            <c:numRef>
              <c:f>'Missing-Course-Analysis'!$B$2:$B$13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E-40BB-889C-58A82C1ABBA3}"/>
            </c:ext>
          </c:extLst>
        </c:ser>
        <c:ser>
          <c:idx val="1"/>
          <c:order val="1"/>
          <c:tx>
            <c:strRef>
              <c:f>'Missing-Course-Analysis'!$C$1</c:f>
              <c:strCache>
                <c:ptCount val="1"/>
                <c:pt idx="0">
                  <c:v>Average Skill Gap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'Missing-Course-Analysis'!$A$2:$A$13</c:f>
              <c:strCache>
                <c:ptCount val="11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</c:strCache>
            </c:strRef>
          </c:cat>
          <c:val>
            <c:numRef>
              <c:f>'Missing-Course-Analysis'!$C$2:$C$13</c:f>
              <c:numCache>
                <c:formatCode>0.0</c:formatCode>
                <c:ptCount val="11"/>
                <c:pt idx="0">
                  <c:v>2.1</c:v>
                </c:pt>
                <c:pt idx="1">
                  <c:v>2.2000000000000002</c:v>
                </c:pt>
                <c:pt idx="2">
                  <c:v>2.1</c:v>
                </c:pt>
                <c:pt idx="3">
                  <c:v>1.9</c:v>
                </c:pt>
                <c:pt idx="4">
                  <c:v>1.7</c:v>
                </c:pt>
                <c:pt idx="5">
                  <c:v>1.4</c:v>
                </c:pt>
                <c:pt idx="6">
                  <c:v>1</c:v>
                </c:pt>
                <c:pt idx="7">
                  <c:v>0.7</c:v>
                </c:pt>
                <c:pt idx="8">
                  <c:v>0.5</c:v>
                </c:pt>
                <c:pt idx="9">
                  <c:v>0.4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DE-40BB-889C-58A82C1ABBA3}"/>
            </c:ext>
          </c:extLst>
        </c:ser>
        <c:ser>
          <c:idx val="2"/>
          <c:order val="2"/>
          <c:tx>
            <c:strRef>
              <c:f>'Missing-Course-Analysis'!$D$1</c:f>
              <c:strCache>
                <c:ptCount val="1"/>
                <c:pt idx="0">
                  <c:v>Training Available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'Missing-Course-Analysis'!$A$2:$A$13</c:f>
              <c:strCache>
                <c:ptCount val="11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</c:strCache>
            </c:strRef>
          </c:cat>
          <c:val>
            <c:numRef>
              <c:f>'Missing-Course-Analysis'!$D$2:$D$13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DE-40BB-889C-58A82C1AB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89699424"/>
        <c:axId val="1589697024"/>
        <c:axId val="0"/>
      </c:bar3DChart>
      <c:catAx>
        <c:axId val="1589699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697024"/>
        <c:crosses val="autoZero"/>
        <c:auto val="1"/>
        <c:lblAlgn val="ctr"/>
        <c:lblOffset val="100"/>
        <c:noMultiLvlLbl val="0"/>
      </c:catAx>
      <c:valAx>
        <c:axId val="158969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69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0</xdr:rowOff>
    </xdr:from>
    <xdr:to>
      <xdr:col>11</xdr:col>
      <xdr:colOff>426720</xdr:colOff>
      <xdr:row>13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A2DFA2-7804-FF6A-9BBF-447E15B4C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_Analyst_Projects\GitHub_Doc\SQL_Training-Cost-ROI-Raw%20Data_.csv.xlsx" TargetMode="External"/><Relationship Id="rId1" Type="http://schemas.openxmlformats.org/officeDocument/2006/relationships/externalLinkPath" Target="SQL_Training-Cost-ROI-Raw%20Data_.csv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_Analyst_Projects\SQL_Projects_\Data%20Folder\Query_data.xlsx" TargetMode="External"/><Relationship Id="rId1" Type="http://schemas.openxmlformats.org/officeDocument/2006/relationships/externalLinkPath" Target="/Data_Analyst_Projects/SQL_Projects_/Data%20Folder/Query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s"/>
      <sheetName val="Skills"/>
      <sheetName val="Emp_skills"/>
      <sheetName val="Training"/>
    </sheetNames>
    <sheetDataSet>
      <sheetData sheetId="0"/>
      <sheetData sheetId="1"/>
      <sheetData sheetId="2"/>
      <sheetData sheetId="3">
        <row r="2">
          <cell r="C2" t="str">
            <v>S01</v>
          </cell>
        </row>
        <row r="3">
          <cell r="C3" t="str">
            <v>S02</v>
          </cell>
        </row>
        <row r="4">
          <cell r="C4" t="str">
            <v>S03</v>
          </cell>
        </row>
        <row r="5">
          <cell r="C5" t="str">
            <v>S04</v>
          </cell>
        </row>
        <row r="6">
          <cell r="C6" t="str">
            <v>S05</v>
          </cell>
        </row>
        <row r="7">
          <cell r="C7" t="str">
            <v>S06</v>
          </cell>
        </row>
        <row r="8">
          <cell r="C8" t="str">
            <v>S07</v>
          </cell>
        </row>
        <row r="9">
          <cell r="C9" t="str">
            <v>S08</v>
          </cell>
        </row>
        <row r="10">
          <cell r="C10" t="str">
            <v>S09</v>
          </cell>
        </row>
        <row r="11">
          <cell r="C11" t="str">
            <v>S10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s"/>
      <sheetName val="Skills"/>
      <sheetName val="Future Course "/>
      <sheetName val="Future Course"/>
      <sheetName val="Emp_Skill"/>
      <sheetName val="Emp_Pivot"/>
      <sheetName val="Emp_skil_IDl"/>
      <sheetName val="Critical Skill Gap"/>
      <sheetName val="Training"/>
      <sheetName val="Sheet11"/>
      <sheetName val="ROI RAW"/>
      <sheetName val="Gap_Analysis"/>
      <sheetName val="Sheet16"/>
      <sheetName val="Productivity "/>
    </sheetNames>
    <sheetDataSet>
      <sheetData sheetId="0"/>
      <sheetData sheetId="1"/>
      <sheetData sheetId="2"/>
      <sheetData sheetId="3"/>
      <sheetData sheetId="4">
        <row r="2">
          <cell r="C2">
            <v>5</v>
          </cell>
          <cell r="D2">
            <v>4</v>
          </cell>
        </row>
        <row r="3">
          <cell r="C3">
            <v>5</v>
          </cell>
          <cell r="D3">
            <v>4</v>
          </cell>
        </row>
        <row r="4">
          <cell r="C4">
            <v>5</v>
          </cell>
          <cell r="D4">
            <v>3</v>
          </cell>
        </row>
        <row r="5">
          <cell r="C5">
            <v>5</v>
          </cell>
          <cell r="D5">
            <v>3</v>
          </cell>
        </row>
        <row r="6">
          <cell r="C6">
            <v>5</v>
          </cell>
          <cell r="D6">
            <v>2</v>
          </cell>
        </row>
        <row r="7">
          <cell r="C7">
            <v>5</v>
          </cell>
          <cell r="D7">
            <v>1</v>
          </cell>
        </row>
        <row r="8">
          <cell r="C8">
            <v>5</v>
          </cell>
          <cell r="D8">
            <v>2</v>
          </cell>
        </row>
        <row r="9">
          <cell r="C9">
            <v>5</v>
          </cell>
          <cell r="D9">
            <v>3</v>
          </cell>
        </row>
        <row r="10">
          <cell r="C10">
            <v>5</v>
          </cell>
          <cell r="D10">
            <v>4</v>
          </cell>
        </row>
        <row r="11">
          <cell r="C11">
            <v>5</v>
          </cell>
          <cell r="D11">
            <v>3</v>
          </cell>
        </row>
        <row r="12">
          <cell r="C12">
            <v>5</v>
          </cell>
          <cell r="D12">
            <v>3</v>
          </cell>
        </row>
      </sheetData>
      <sheetData sheetId="5"/>
      <sheetData sheetId="6">
        <row r="2">
          <cell r="C2">
            <v>5</v>
          </cell>
          <cell r="D2">
            <v>4</v>
          </cell>
        </row>
        <row r="3">
          <cell r="C3">
            <v>5</v>
          </cell>
          <cell r="D3">
            <v>4</v>
          </cell>
        </row>
        <row r="4">
          <cell r="C4">
            <v>5</v>
          </cell>
          <cell r="D4">
            <v>3</v>
          </cell>
        </row>
        <row r="5">
          <cell r="C5">
            <v>5</v>
          </cell>
          <cell r="D5">
            <v>3</v>
          </cell>
        </row>
        <row r="6">
          <cell r="C6">
            <v>5</v>
          </cell>
          <cell r="D6">
            <v>2</v>
          </cell>
        </row>
        <row r="7">
          <cell r="C7">
            <v>5</v>
          </cell>
          <cell r="D7">
            <v>1</v>
          </cell>
        </row>
        <row r="8">
          <cell r="C8">
            <v>5</v>
          </cell>
          <cell r="D8">
            <v>2</v>
          </cell>
        </row>
        <row r="9">
          <cell r="C9">
            <v>5</v>
          </cell>
          <cell r="D9">
            <v>3</v>
          </cell>
        </row>
        <row r="10">
          <cell r="C10">
            <v>5</v>
          </cell>
          <cell r="D10">
            <v>4</v>
          </cell>
        </row>
        <row r="11">
          <cell r="C11">
            <v>5</v>
          </cell>
          <cell r="D11">
            <v>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USHRI" refreshedDate="45981.713092708334" createdVersion="8" refreshedVersion="8" minRefreshableVersion="3" recordCount="11" xr:uid="{709EF739-1D4E-410C-B91E-ADA7DC54F894}">
  <cacheSource type="worksheet">
    <worksheetSource ref="A1:G12" sheet="Raw Data"/>
  </cacheSource>
  <cacheFields count="7">
    <cacheField name="Skill_id" numFmtId="0">
      <sharedItems count="11">
        <s v="S01"/>
        <s v="S02"/>
        <s v="S03"/>
        <s v="S04"/>
        <s v="S05"/>
        <s v="S06"/>
        <s v="S07"/>
        <s v="S08"/>
        <s v="S09"/>
        <s v="S10"/>
        <s v="S11"/>
      </sharedItems>
    </cacheField>
    <cacheField name="Skill_name" numFmtId="0">
      <sharedItems/>
    </cacheField>
    <cacheField name="Category" numFmtId="0">
      <sharedItems/>
    </cacheField>
    <cacheField name="Has_Training" numFmtId="0">
      <sharedItems containsSemiMixedTypes="0" containsString="0" containsNumber="1" containsInteger="1" minValue="0" maxValue="1" count="2">
        <n v="1"/>
        <n v="0"/>
      </sharedItems>
    </cacheField>
    <cacheField name="Missing Course" numFmtId="0">
      <sharedItems count="2">
        <s v="EXISTS"/>
        <s v="MISSING"/>
      </sharedItems>
    </cacheField>
    <cacheField name="Gap Score" numFmtId="0">
      <sharedItems containsSemiMixedTypes="0" containsString="0" containsNumber="1" containsInteger="1" minValue="1" maxValue="4"/>
    </cacheField>
    <cacheField name="Average Gap Score" numFmtId="164">
      <sharedItems containsSemiMixedTypes="0" containsString="0" containsNumber="1" minValue="0.4" maxValue="2.200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s v="Communication"/>
    <s v="Market"/>
    <x v="0"/>
    <x v="0"/>
    <n v="1"/>
    <n v="2.1"/>
  </r>
  <r>
    <x v="1"/>
    <s v="Python Programming"/>
    <s v="Technicl"/>
    <x v="0"/>
    <x v="0"/>
    <n v="1"/>
    <n v="2.2000000000000002"/>
  </r>
  <r>
    <x v="2"/>
    <s v="Media Marketing"/>
    <s v="Ecom"/>
    <x v="0"/>
    <x v="0"/>
    <n v="2"/>
    <n v="2.1"/>
  </r>
  <r>
    <x v="3"/>
    <s v="Cyber security"/>
    <s v="Cyber_Security"/>
    <x v="0"/>
    <x v="0"/>
    <n v="2"/>
    <n v="1.9"/>
  </r>
  <r>
    <x v="4"/>
    <s v="Management"/>
    <s v="Workspace Management"/>
    <x v="0"/>
    <x v="0"/>
    <n v="3"/>
    <n v="1.7"/>
  </r>
  <r>
    <x v="5"/>
    <s v="IT Troubleshooting"/>
    <s v="Technical Support"/>
    <x v="0"/>
    <x v="0"/>
    <n v="4"/>
    <n v="1.4"/>
  </r>
  <r>
    <x v="6"/>
    <s v="Indian Cuisine"/>
    <s v="South Asia Food"/>
    <x v="0"/>
    <x v="0"/>
    <n v="3"/>
    <n v="1"/>
  </r>
  <r>
    <x v="7"/>
    <s v="Story Telling"/>
    <s v="Sales &amp; Marketing"/>
    <x v="0"/>
    <x v="0"/>
    <n v="2"/>
    <n v="0.7"/>
  </r>
  <r>
    <x v="8"/>
    <s v="Ms excel"/>
    <s v="Bank Finance"/>
    <x v="0"/>
    <x v="0"/>
    <n v="1"/>
    <n v="0.5"/>
  </r>
  <r>
    <x v="9"/>
    <s v="Developer"/>
    <s v="App Development"/>
    <x v="0"/>
    <x v="0"/>
    <n v="2"/>
    <n v="0.4"/>
  </r>
  <r>
    <x v="10"/>
    <s v="AI Ethics"/>
    <s v="Compliance"/>
    <x v="1"/>
    <x v="1"/>
    <n v="2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D90CF-77ED-4F9E-A3E7-650060744668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 rowHeaderCaption="Course ID">
  <location ref="A1:D13" firstHeaderRow="0" firstDataRow="1" firstDataCol="1"/>
  <pivotFields count="7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showAll="0"/>
    <pivotField dataField="1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numFmtId="164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rse Name" fld="1" subtotal="count" baseField="0" baseItem="0"/>
    <dataField name="Average Skill Gap" fld="6" baseField="0" baseItem="0" numFmtId="164"/>
    <dataField name="Training Available" fld="3" baseField="0" baseItem="0"/>
  </dataFields>
  <formats count="21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0" type="button" dataOnly="0" labelOnly="1" outline="0" axis="axisRow" fieldPosition="0"/>
    </format>
    <format dxfId="21">
      <pivotArea dataOnly="0" labelOnly="1" fieldPosition="0">
        <references count="1">
          <reference field="0" count="0"/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">
      <pivotArea collapsedLevelsAreSubtotals="1" fieldPosition="0">
        <references count="1">
          <reference field="0" count="1">
            <x v="10"/>
          </reference>
        </references>
      </pivotArea>
    </format>
    <format dxfId="17">
      <pivotArea dataOnly="0" labelOnly="1" fieldPosition="0">
        <references count="1">
          <reference field="0" count="1">
            <x v="10"/>
          </reference>
        </references>
      </pivotArea>
    </format>
    <format dxfId="14">
      <pivotArea dataOnly="0" fieldPosition="0">
        <references count="1">
          <reference field="0" count="1">
            <x v="10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9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F15EA-3FC1-4615-9AA9-C5E4271A345A}">
  <dimension ref="A1:D13"/>
  <sheetViews>
    <sheetView tabSelected="1" workbookViewId="0">
      <selection activeCell="C22" sqref="C22"/>
    </sheetView>
  </sheetViews>
  <sheetFormatPr defaultRowHeight="14.4" x14ac:dyDescent="0.3"/>
  <cols>
    <col min="1" max="1" width="12.5546875" bestFit="1" customWidth="1"/>
    <col min="2" max="2" width="18.109375" bestFit="1" customWidth="1"/>
    <col min="3" max="3" width="23.5546875" bestFit="1" customWidth="1"/>
    <col min="4" max="4" width="18.44140625" bestFit="1" customWidth="1"/>
  </cols>
  <sheetData>
    <row r="1" spans="1:4" x14ac:dyDescent="0.3">
      <c r="A1" s="7" t="s">
        <v>41</v>
      </c>
      <c r="B1" s="8" t="s">
        <v>42</v>
      </c>
      <c r="C1" s="8" t="s">
        <v>43</v>
      </c>
      <c r="D1" s="8" t="s">
        <v>44</v>
      </c>
    </row>
    <row r="2" spans="1:4" x14ac:dyDescent="0.3">
      <c r="A2" s="8" t="s">
        <v>0</v>
      </c>
      <c r="B2" s="8">
        <v>1</v>
      </c>
      <c r="C2" s="9">
        <v>2.1</v>
      </c>
      <c r="D2" s="8">
        <v>1</v>
      </c>
    </row>
    <row r="3" spans="1:4" x14ac:dyDescent="0.3">
      <c r="A3" s="8" t="s">
        <v>1</v>
      </c>
      <c r="B3" s="8">
        <v>1</v>
      </c>
      <c r="C3" s="9">
        <v>2.2000000000000002</v>
      </c>
      <c r="D3" s="8">
        <v>1</v>
      </c>
    </row>
    <row r="4" spans="1:4" x14ac:dyDescent="0.3">
      <c r="A4" s="8" t="s">
        <v>2</v>
      </c>
      <c r="B4" s="8">
        <v>1</v>
      </c>
      <c r="C4" s="9">
        <v>2.1</v>
      </c>
      <c r="D4" s="8">
        <v>1</v>
      </c>
    </row>
    <row r="5" spans="1:4" x14ac:dyDescent="0.3">
      <c r="A5" s="8" t="s">
        <v>3</v>
      </c>
      <c r="B5" s="8">
        <v>1</v>
      </c>
      <c r="C5" s="9">
        <v>1.9</v>
      </c>
      <c r="D5" s="8">
        <v>1</v>
      </c>
    </row>
    <row r="6" spans="1:4" x14ac:dyDescent="0.3">
      <c r="A6" s="8" t="s">
        <v>4</v>
      </c>
      <c r="B6" s="8">
        <v>1</v>
      </c>
      <c r="C6" s="9">
        <v>1.7</v>
      </c>
      <c r="D6" s="8">
        <v>1</v>
      </c>
    </row>
    <row r="7" spans="1:4" x14ac:dyDescent="0.3">
      <c r="A7" s="8" t="s">
        <v>5</v>
      </c>
      <c r="B7" s="8">
        <v>1</v>
      </c>
      <c r="C7" s="9">
        <v>1.4</v>
      </c>
      <c r="D7" s="8">
        <v>1</v>
      </c>
    </row>
    <row r="8" spans="1:4" x14ac:dyDescent="0.3">
      <c r="A8" s="8" t="s">
        <v>6</v>
      </c>
      <c r="B8" s="8">
        <v>1</v>
      </c>
      <c r="C8" s="9">
        <v>1</v>
      </c>
      <c r="D8" s="8">
        <v>1</v>
      </c>
    </row>
    <row r="9" spans="1:4" x14ac:dyDescent="0.3">
      <c r="A9" s="8" t="s">
        <v>7</v>
      </c>
      <c r="B9" s="8">
        <v>1</v>
      </c>
      <c r="C9" s="9">
        <v>0.7</v>
      </c>
      <c r="D9" s="8">
        <v>1</v>
      </c>
    </row>
    <row r="10" spans="1:4" x14ac:dyDescent="0.3">
      <c r="A10" s="8" t="s">
        <v>8</v>
      </c>
      <c r="B10" s="8">
        <v>1</v>
      </c>
      <c r="C10" s="9">
        <v>0.5</v>
      </c>
      <c r="D10" s="8">
        <v>1</v>
      </c>
    </row>
    <row r="11" spans="1:4" x14ac:dyDescent="0.3">
      <c r="A11" s="8" t="s">
        <v>9</v>
      </c>
      <c r="B11" s="8">
        <v>1</v>
      </c>
      <c r="C11" s="9">
        <v>0.4</v>
      </c>
      <c r="D11" s="8">
        <v>1</v>
      </c>
    </row>
    <row r="12" spans="1:4" x14ac:dyDescent="0.3">
      <c r="A12" s="10" t="s">
        <v>10</v>
      </c>
      <c r="B12" s="10">
        <v>1</v>
      </c>
      <c r="C12" s="11">
        <v>2</v>
      </c>
      <c r="D12" s="10">
        <v>0</v>
      </c>
    </row>
    <row r="13" spans="1:4" x14ac:dyDescent="0.3">
      <c r="A13" s="8" t="s">
        <v>40</v>
      </c>
      <c r="B13" s="8">
        <v>11</v>
      </c>
      <c r="C13" s="9">
        <v>16</v>
      </c>
      <c r="D13" s="8">
        <v>10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201F3-8942-48F8-B805-75270AE1EBED}">
  <dimension ref="A1:G12"/>
  <sheetViews>
    <sheetView workbookViewId="0">
      <selection activeCell="K8" sqref="K8"/>
    </sheetView>
  </sheetViews>
  <sheetFormatPr defaultRowHeight="14.4" x14ac:dyDescent="0.3"/>
  <cols>
    <col min="1" max="1" width="7.44140625" bestFit="1" customWidth="1"/>
    <col min="2" max="2" width="25.77734375" customWidth="1"/>
    <col min="3" max="3" width="23.33203125" bestFit="1" customWidth="1"/>
    <col min="4" max="4" width="16.44140625" bestFit="1" customWidth="1"/>
    <col min="5" max="5" width="12.6640625" bestFit="1" customWidth="1"/>
    <col min="6" max="6" width="6.21875" bestFit="1" customWidth="1"/>
    <col min="7" max="7" width="8.88671875" style="1"/>
  </cols>
  <sheetData>
    <row r="1" spans="1:7" ht="50.4" x14ac:dyDescent="0.3">
      <c r="A1" s="2" t="s">
        <v>14</v>
      </c>
      <c r="B1" s="2" t="s">
        <v>15</v>
      </c>
      <c r="C1" s="2" t="s">
        <v>16</v>
      </c>
      <c r="D1" s="2" t="s">
        <v>12</v>
      </c>
      <c r="E1" s="2" t="s">
        <v>17</v>
      </c>
      <c r="F1" s="2" t="s">
        <v>13</v>
      </c>
      <c r="G1" s="5" t="s">
        <v>11</v>
      </c>
    </row>
    <row r="2" spans="1:7" ht="16.8" x14ac:dyDescent="0.3">
      <c r="A2" s="3" t="s">
        <v>0</v>
      </c>
      <c r="B2" s="3" t="s">
        <v>18</v>
      </c>
      <c r="C2" s="3" t="s">
        <v>19</v>
      </c>
      <c r="D2" s="4">
        <f>COUNTIF([1]Training!$C$2:$C$11,A2)</f>
        <v>1</v>
      </c>
      <c r="E2" s="4" t="str">
        <f t="shared" ref="E2:E12" si="0">IF(D2=0,"MISSING","EXISTS")</f>
        <v>EXISTS</v>
      </c>
      <c r="F2" s="4">
        <f>[2]Emp_skil_IDl!C2-[2]Emp_skil_IDl!D2</f>
        <v>1</v>
      </c>
      <c r="G2" s="6" cm="1">
        <f t="array" ref="G2">AVERAGE([2]Emp_Skill!C2:C11-[2]Emp_Skill!D2:D11)</f>
        <v>2.1</v>
      </c>
    </row>
    <row r="3" spans="1:7" ht="16.8" x14ac:dyDescent="0.3">
      <c r="A3" s="3" t="s">
        <v>1</v>
      </c>
      <c r="B3" s="3" t="s">
        <v>20</v>
      </c>
      <c r="C3" s="3" t="s">
        <v>21</v>
      </c>
      <c r="D3" s="4">
        <f>COUNTIF([1]Training!$C$2:$C$11,A3)</f>
        <v>1</v>
      </c>
      <c r="E3" s="4" t="str">
        <f t="shared" si="0"/>
        <v>EXISTS</v>
      </c>
      <c r="F3" s="4">
        <f>[2]Emp_skil_IDl!C3-[2]Emp_skil_IDl!D3</f>
        <v>1</v>
      </c>
      <c r="G3" s="6" cm="1">
        <f t="array" ref="G3">AVERAGE([2]Emp_Skill!C3:C12-[2]Emp_Skill!D3:D12)</f>
        <v>2.2000000000000002</v>
      </c>
    </row>
    <row r="4" spans="1:7" ht="16.8" x14ac:dyDescent="0.3">
      <c r="A4" s="3" t="s">
        <v>2</v>
      </c>
      <c r="B4" s="3" t="s">
        <v>22</v>
      </c>
      <c r="C4" s="3" t="s">
        <v>23</v>
      </c>
      <c r="D4" s="4">
        <f>COUNTIF([1]Training!$C$2:$C$11,A4)</f>
        <v>1</v>
      </c>
      <c r="E4" s="4" t="str">
        <f t="shared" si="0"/>
        <v>EXISTS</v>
      </c>
      <c r="F4" s="4">
        <f>[2]Emp_skil_IDl!C4-[2]Emp_skil_IDl!D4</f>
        <v>2</v>
      </c>
      <c r="G4" s="6" cm="1">
        <f t="array" ref="G4">AVERAGE([2]Emp_Skill!C4:C13-[2]Emp_Skill!D4:D13)</f>
        <v>2.1</v>
      </c>
    </row>
    <row r="5" spans="1:7" ht="16.8" x14ac:dyDescent="0.3">
      <c r="A5" s="3" t="s">
        <v>3</v>
      </c>
      <c r="B5" s="3" t="s">
        <v>24</v>
      </c>
      <c r="C5" s="3" t="s">
        <v>25</v>
      </c>
      <c r="D5" s="4">
        <f>COUNTIF([1]Training!$C$2:$C$11,A5)</f>
        <v>1</v>
      </c>
      <c r="E5" s="4" t="str">
        <f t="shared" si="0"/>
        <v>EXISTS</v>
      </c>
      <c r="F5" s="4">
        <f>[2]Emp_skil_IDl!C5-[2]Emp_skil_IDl!D5</f>
        <v>2</v>
      </c>
      <c r="G5" s="6" cm="1">
        <f t="array" ref="G5">AVERAGE([2]Emp_Skill!C5:C14-[2]Emp_Skill!D5:D14)</f>
        <v>1.9</v>
      </c>
    </row>
    <row r="6" spans="1:7" ht="16.8" x14ac:dyDescent="0.3">
      <c r="A6" s="3" t="s">
        <v>4</v>
      </c>
      <c r="B6" s="3" t="s">
        <v>26</v>
      </c>
      <c r="C6" s="3" t="s">
        <v>27</v>
      </c>
      <c r="D6" s="4">
        <f>COUNTIF([1]Training!$C$2:$C$11,A6)</f>
        <v>1</v>
      </c>
      <c r="E6" s="4" t="str">
        <f t="shared" si="0"/>
        <v>EXISTS</v>
      </c>
      <c r="F6" s="4">
        <f>[2]Emp_skil_IDl!C6-[2]Emp_skil_IDl!D6</f>
        <v>3</v>
      </c>
      <c r="G6" s="6" cm="1">
        <f t="array" ref="G6">AVERAGE([2]Emp_Skill!C6:C15-[2]Emp_Skill!D6:D15)</f>
        <v>1.7</v>
      </c>
    </row>
    <row r="7" spans="1:7" ht="16.8" x14ac:dyDescent="0.3">
      <c r="A7" s="3" t="s">
        <v>5</v>
      </c>
      <c r="B7" s="3" t="s">
        <v>28</v>
      </c>
      <c r="C7" s="3" t="s">
        <v>29</v>
      </c>
      <c r="D7" s="4">
        <f>COUNTIF([1]Training!$C$2:$C$11,A7)</f>
        <v>1</v>
      </c>
      <c r="E7" s="4" t="str">
        <f t="shared" si="0"/>
        <v>EXISTS</v>
      </c>
      <c r="F7" s="4">
        <f>[2]Emp_skil_IDl!C7-[2]Emp_skil_IDl!D7</f>
        <v>4</v>
      </c>
      <c r="G7" s="6" cm="1">
        <f t="array" ref="G7">AVERAGE([2]Emp_Skill!C7:C16-[2]Emp_Skill!D7:D16)</f>
        <v>1.4</v>
      </c>
    </row>
    <row r="8" spans="1:7" ht="16.8" x14ac:dyDescent="0.3">
      <c r="A8" s="3" t="s">
        <v>6</v>
      </c>
      <c r="B8" s="3" t="s">
        <v>30</v>
      </c>
      <c r="C8" s="3" t="s">
        <v>31</v>
      </c>
      <c r="D8" s="4">
        <f>COUNTIF([1]Training!$C$2:$C$11,A8)</f>
        <v>1</v>
      </c>
      <c r="E8" s="4" t="str">
        <f t="shared" si="0"/>
        <v>EXISTS</v>
      </c>
      <c r="F8" s="4">
        <f>[2]Emp_skil_IDl!C8-[2]Emp_skil_IDl!D8</f>
        <v>3</v>
      </c>
      <c r="G8" s="6" cm="1">
        <f t="array" ref="G8">AVERAGE([2]Emp_Skill!C8:C17-[2]Emp_Skill!D8:D17)</f>
        <v>1</v>
      </c>
    </row>
    <row r="9" spans="1:7" ht="16.8" x14ac:dyDescent="0.3">
      <c r="A9" s="3" t="s">
        <v>7</v>
      </c>
      <c r="B9" s="3" t="s">
        <v>32</v>
      </c>
      <c r="C9" s="3" t="s">
        <v>33</v>
      </c>
      <c r="D9" s="4">
        <f>COUNTIF([1]Training!$C$2:$C$11,A9)</f>
        <v>1</v>
      </c>
      <c r="E9" s="4" t="str">
        <f t="shared" si="0"/>
        <v>EXISTS</v>
      </c>
      <c r="F9" s="4">
        <f>[2]Emp_skil_IDl!C9-[2]Emp_skil_IDl!D9</f>
        <v>2</v>
      </c>
      <c r="G9" s="6" cm="1">
        <f t="array" ref="G9">AVERAGE([2]Emp_Skill!C9:C18-[2]Emp_Skill!D9:D18)</f>
        <v>0.7</v>
      </c>
    </row>
    <row r="10" spans="1:7" ht="16.8" x14ac:dyDescent="0.3">
      <c r="A10" s="3" t="s">
        <v>8</v>
      </c>
      <c r="B10" s="3" t="s">
        <v>34</v>
      </c>
      <c r="C10" s="3" t="s">
        <v>35</v>
      </c>
      <c r="D10" s="4">
        <f>COUNTIF([1]Training!$C$2:$C$11,A10)</f>
        <v>1</v>
      </c>
      <c r="E10" s="4" t="str">
        <f t="shared" si="0"/>
        <v>EXISTS</v>
      </c>
      <c r="F10" s="4">
        <f>[2]Emp_skil_IDl!C10-[2]Emp_skil_IDl!D10</f>
        <v>1</v>
      </c>
      <c r="G10" s="6" cm="1">
        <f t="array" ref="G10">AVERAGE([2]Emp_Skill!C10:C19-[2]Emp_Skill!D10:D19)</f>
        <v>0.5</v>
      </c>
    </row>
    <row r="11" spans="1:7" ht="16.8" x14ac:dyDescent="0.3">
      <c r="A11" s="3" t="s">
        <v>9</v>
      </c>
      <c r="B11" s="3" t="s">
        <v>36</v>
      </c>
      <c r="C11" s="3" t="s">
        <v>37</v>
      </c>
      <c r="D11" s="4">
        <f>COUNTIF([1]Training!$C$2:$C$11,A11)</f>
        <v>1</v>
      </c>
      <c r="E11" s="4" t="str">
        <f t="shared" si="0"/>
        <v>EXISTS</v>
      </c>
      <c r="F11" s="4">
        <f>[2]Emp_skil_IDl!C11-[2]Emp_skil_IDl!D11</f>
        <v>2</v>
      </c>
      <c r="G11" s="6" cm="1">
        <f t="array" ref="G11">AVERAGE([2]Emp_Skill!C11:C20-[2]Emp_Skill!D11:D20)</f>
        <v>0.4</v>
      </c>
    </row>
    <row r="12" spans="1:7" ht="16.8" x14ac:dyDescent="0.3">
      <c r="A12" s="3" t="s">
        <v>10</v>
      </c>
      <c r="B12" s="3" t="s">
        <v>38</v>
      </c>
      <c r="C12" s="3" t="s">
        <v>39</v>
      </c>
      <c r="D12" s="4">
        <f>COUNTIF([1]Training!$C$2:$C$11,A12)</f>
        <v>0</v>
      </c>
      <c r="E12" s="4" t="str">
        <f t="shared" si="0"/>
        <v>MISSING</v>
      </c>
      <c r="F12" s="4">
        <f>[2]Emp_Skill!C12-[2]Emp_Skill!D12</f>
        <v>2</v>
      </c>
      <c r="G12" s="6">
        <f>AVERAGE([2]Emp_Skill!C12-[2]Emp_Skill!D12)</f>
        <v>2</v>
      </c>
    </row>
  </sheetData>
  <autoFilter ref="A1:G1" xr:uid="{64E201F3-8942-48F8-B805-75270AE1EBED}"/>
  <conditionalFormatting sqref="A12:C12 E12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12">
    <cfRule type="containsText" dxfId="16" priority="2" operator="containsText" text="MISSING">
      <formula>NOT(ISERROR(SEARCH("MISSING",E2)))</formula>
    </cfRule>
    <cfRule type="containsText" dxfId="15" priority="3" operator="containsText" text="EXISTS">
      <formula>NOT(ISERROR(SEARCH("EXISTS",E2)))</formula>
    </cfRule>
  </conditionalFormatting>
  <conditionalFormatting sqref="F2:F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G2:G1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Missing-Course-Analysis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Tanushri Kale</dc:creator>
  <cp:lastModifiedBy>Tanushri Kale</cp:lastModifiedBy>
  <dcterms:created xsi:type="dcterms:W3CDTF">2025-11-20T07:28:38Z</dcterms:created>
  <dcterms:modified xsi:type="dcterms:W3CDTF">2025-11-20T15:24:12Z</dcterms:modified>
</cp:coreProperties>
</file>