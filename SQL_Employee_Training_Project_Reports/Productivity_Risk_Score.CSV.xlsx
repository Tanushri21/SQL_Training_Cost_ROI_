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_Analyst_Projects\GitHub_Doc\"/>
    </mc:Choice>
  </mc:AlternateContent>
  <xr:revisionPtr revIDLastSave="0" documentId="13_ncr:1_{0FFB44FC-93FC-4944-A556-44259692B7A7}" xr6:coauthVersionLast="47" xr6:coauthVersionMax="47" xr10:uidLastSave="{00000000-0000-0000-0000-000000000000}"/>
  <bookViews>
    <workbookView xWindow="-96" yWindow="0" windowWidth="11712" windowHeight="13056" xr2:uid="{9ED44CF4-EB75-4480-89D5-B0BB846B2A7C}"/>
  </bookViews>
  <sheets>
    <sheet name="Raw Data" sheetId="1" r:id="rId1"/>
    <sheet name="Productivity_Risk_Analysis" sheetId="2" r:id="rId2"/>
  </sheets>
  <externalReferences>
    <externalReference r:id="rId3"/>
  </externalReference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2" i="1"/>
  <c r="E3" i="1"/>
  <c r="E4" i="1"/>
  <c r="E5" i="1"/>
  <c r="G5" i="1" s="1"/>
  <c r="H5" i="1" s="1"/>
  <c r="E6" i="1"/>
  <c r="E7" i="1"/>
  <c r="E8" i="1"/>
  <c r="E9" i="1"/>
  <c r="E10" i="1"/>
  <c r="E11" i="1"/>
  <c r="E12" i="1"/>
  <c r="E2" i="1"/>
  <c r="D3" i="1"/>
  <c r="F13" i="2" s="1"/>
  <c r="D4" i="1"/>
  <c r="F12" i="2" s="1"/>
  <c r="D5" i="1"/>
  <c r="F11" i="2" s="1"/>
  <c r="D6" i="1"/>
  <c r="F10" i="2" s="1"/>
  <c r="D7" i="1"/>
  <c r="F9" i="2" s="1"/>
  <c r="D8" i="1"/>
  <c r="F8" i="2" s="1"/>
  <c r="D9" i="1"/>
  <c r="F7" i="2" s="1"/>
  <c r="D10" i="1"/>
  <c r="F6" i="2" s="1"/>
  <c r="D11" i="1"/>
  <c r="F5" i="2" s="1"/>
  <c r="D12" i="1"/>
  <c r="F4" i="2" s="1"/>
  <c r="D2" i="1"/>
  <c r="F14" i="2" s="1"/>
  <c r="C3" i="1"/>
  <c r="E13" i="2" s="1"/>
  <c r="C4" i="1"/>
  <c r="E12" i="2" s="1"/>
  <c r="C5" i="1"/>
  <c r="E11" i="2" s="1"/>
  <c r="C6" i="1"/>
  <c r="E10" i="2" s="1"/>
  <c r="C7" i="1"/>
  <c r="E9" i="2" s="1"/>
  <c r="C8" i="1"/>
  <c r="E8" i="2" s="1"/>
  <c r="C9" i="1"/>
  <c r="E7" i="2" s="1"/>
  <c r="C10" i="1"/>
  <c r="E6" i="2" s="1"/>
  <c r="C11" i="1"/>
  <c r="E5" i="2" s="1"/>
  <c r="C12" i="1"/>
  <c r="E4" i="2" s="1"/>
  <c r="C2" i="1"/>
  <c r="E14" i="2" s="1"/>
  <c r="B3" i="1"/>
  <c r="D13" i="2" s="1"/>
  <c r="B4" i="1"/>
  <c r="D12" i="2" s="1"/>
  <c r="B5" i="1"/>
  <c r="D11" i="2" s="1"/>
  <c r="B6" i="1"/>
  <c r="D10" i="2" s="1"/>
  <c r="B7" i="1"/>
  <c r="D9" i="2" s="1"/>
  <c r="B8" i="1"/>
  <c r="D8" i="2" s="1"/>
  <c r="B9" i="1"/>
  <c r="D7" i="2" s="1"/>
  <c r="B10" i="1"/>
  <c r="D6" i="2" s="1"/>
  <c r="B11" i="1"/>
  <c r="D5" i="2" s="1"/>
  <c r="B12" i="1"/>
  <c r="D4" i="2" s="1"/>
  <c r="B2" i="1"/>
  <c r="D14" i="2" s="1"/>
  <c r="G8" i="1" l="1"/>
  <c r="H8" i="1" s="1"/>
  <c r="G7" i="1"/>
  <c r="H7" i="1" s="1"/>
  <c r="G6" i="1"/>
  <c r="H6" i="1" s="1"/>
  <c r="G12" i="1"/>
  <c r="H12" i="1" s="1"/>
  <c r="G3" i="1"/>
  <c r="H3" i="1" s="1"/>
  <c r="G2" i="1"/>
  <c r="H2" i="1" s="1"/>
  <c r="G11" i="1"/>
  <c r="H11" i="1" s="1"/>
  <c r="G9" i="1"/>
  <c r="H9" i="1" s="1"/>
  <c r="G10" i="1"/>
  <c r="H10" i="1" s="1"/>
  <c r="G4" i="1"/>
  <c r="H4" i="1" s="1"/>
</calcChain>
</file>

<file path=xl/sharedStrings.xml><?xml version="1.0" encoding="utf-8"?>
<sst xmlns="http://schemas.openxmlformats.org/spreadsheetml/2006/main" count="17" uniqueCount="14">
  <si>
    <t>Emp_id</t>
  </si>
  <si>
    <t>First Name</t>
  </si>
  <si>
    <t>Depart</t>
  </si>
  <si>
    <t>Last name</t>
  </si>
  <si>
    <t>Required Proficiency</t>
  </si>
  <si>
    <t>Current Proficiency</t>
  </si>
  <si>
    <t>Productivity Risk Score</t>
  </si>
  <si>
    <t>Affected Skill Count</t>
  </si>
  <si>
    <t>Grand Total</t>
  </si>
  <si>
    <t>Sum of Affected Skill Count</t>
  </si>
  <si>
    <t>(All)</t>
  </si>
  <si>
    <t>High_Risk IDS</t>
  </si>
  <si>
    <t xml:space="preserve">Last Name </t>
  </si>
  <si>
    <t xml:space="preserve"> Productivity 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</si>
</sst>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pivotButton="1" applyFont="1"/>
    <xf numFmtId="0" fontId="1" fillId="0" borderId="0" xfId="0" applyFont="1"/>
    <xf numFmtId="0" fontId="0" fillId="0" borderId="0" xfId="0" quotePrefix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pivotButton="1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</cellXfs>
  <cellStyles count="1">
    <cellStyle name="Normal" xfId="0" builtinId="0"/>
  </cellStyles>
  <dxfs count="129"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BABAB"/>
      <color rgb="FFF529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[Productivity_Risk_Score.CSV.xlsx]Productivity_Risk_Analysis!PivotTable2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Productivity_Risk_Analysis!$B$3</c:f>
              <c:strCache>
                <c:ptCount val="1"/>
                <c:pt idx="0">
                  <c:v> Productivity Risk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Productivity_Risk_Analysis!$A$4:$A$15</c:f>
              <c:strCache>
                <c:ptCount val="11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</c:strCache>
            </c:strRef>
          </c:cat>
          <c:val>
            <c:numRef>
              <c:f>Productivity_Risk_Analysis!$B$4:$B$15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8-47BA-965C-E55B5EE70C4C}"/>
            </c:ext>
          </c:extLst>
        </c:ser>
        <c:ser>
          <c:idx val="1"/>
          <c:order val="1"/>
          <c:tx>
            <c:strRef>
              <c:f>Productivity_Risk_Analysis!$C$3</c:f>
              <c:strCache>
                <c:ptCount val="1"/>
                <c:pt idx="0">
                  <c:v>Sum of Affected Skill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Productivity_Risk_Analysis!$A$4:$A$15</c:f>
              <c:strCache>
                <c:ptCount val="11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</c:strCache>
            </c:strRef>
          </c:cat>
          <c:val>
            <c:numRef>
              <c:f>Productivity_Risk_Analysis!$C$4:$C$15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C8-47BA-965C-E55B5EE70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64250688"/>
        <c:axId val="1364247328"/>
        <c:axId val="0"/>
      </c:bar3DChart>
      <c:catAx>
        <c:axId val="136425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247328"/>
        <c:crosses val="autoZero"/>
        <c:auto val="1"/>
        <c:lblAlgn val="ctr"/>
        <c:lblOffset val="100"/>
        <c:noMultiLvlLbl val="0"/>
      </c:catAx>
      <c:valAx>
        <c:axId val="13642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25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358140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87A476-5D42-889D-D1C0-E662E4F3E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_Analyst_Projects\GitHub_Doc\SQL_Training-Cost-ROI-Raw%20Data_.csv.xlsx" TargetMode="External"/><Relationship Id="rId1" Type="http://schemas.openxmlformats.org/officeDocument/2006/relationships/externalLinkPath" Target="SQL_Training-Cost-ROI-Raw%20Data_.cs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s"/>
      <sheetName val="Skills"/>
      <sheetName val="Emp_skills"/>
      <sheetName val="Training"/>
    </sheetNames>
    <sheetDataSet>
      <sheetData sheetId="0">
        <row r="2">
          <cell r="A2">
            <v>1</v>
          </cell>
          <cell r="B2" t="str">
            <v>Robert</v>
          </cell>
          <cell r="C2" t="str">
            <v>John</v>
          </cell>
          <cell r="D2" t="str">
            <v>Marketing</v>
          </cell>
        </row>
        <row r="3">
          <cell r="A3">
            <v>2</v>
          </cell>
          <cell r="B3" t="str">
            <v>Sam</v>
          </cell>
          <cell r="C3" t="str">
            <v>Tom</v>
          </cell>
          <cell r="D3" t="str">
            <v>IT</v>
          </cell>
        </row>
        <row r="4">
          <cell r="A4">
            <v>3</v>
          </cell>
          <cell r="B4" t="str">
            <v>Sherly</v>
          </cell>
          <cell r="C4" t="str">
            <v>Nick</v>
          </cell>
          <cell r="D4" t="str">
            <v>Ecommerece</v>
          </cell>
        </row>
        <row r="5">
          <cell r="A5">
            <v>4</v>
          </cell>
          <cell r="B5" t="str">
            <v>Chandler</v>
          </cell>
          <cell r="C5" t="str">
            <v>Bing</v>
          </cell>
          <cell r="D5" t="str">
            <v>Cyber</v>
          </cell>
        </row>
        <row r="6">
          <cell r="A6">
            <v>5</v>
          </cell>
          <cell r="B6" t="str">
            <v>Chi</v>
          </cell>
          <cell r="C6" t="str">
            <v>Ling</v>
          </cell>
          <cell r="D6" t="str">
            <v>Admin</v>
          </cell>
        </row>
        <row r="7">
          <cell r="A7">
            <v>6</v>
          </cell>
          <cell r="B7" t="str">
            <v>Max</v>
          </cell>
          <cell r="C7" t="str">
            <v>Johnson</v>
          </cell>
          <cell r="D7" t="str">
            <v>Support</v>
          </cell>
        </row>
        <row r="8">
          <cell r="A8">
            <v>7</v>
          </cell>
          <cell r="B8" t="str">
            <v>Monica</v>
          </cell>
          <cell r="C8" t="str">
            <v>Gellered</v>
          </cell>
          <cell r="D8" t="str">
            <v>Food</v>
          </cell>
        </row>
        <row r="9">
          <cell r="A9">
            <v>8</v>
          </cell>
          <cell r="B9" t="str">
            <v>Alice</v>
          </cell>
          <cell r="C9" t="str">
            <v>W</v>
          </cell>
          <cell r="D9" t="str">
            <v>Sales</v>
          </cell>
        </row>
        <row r="10">
          <cell r="A10">
            <v>9</v>
          </cell>
          <cell r="B10" t="str">
            <v>Carol</v>
          </cell>
          <cell r="C10" t="str">
            <v>Davis</v>
          </cell>
          <cell r="D10" t="str">
            <v>Finance</v>
          </cell>
        </row>
        <row r="11">
          <cell r="A11">
            <v>10</v>
          </cell>
          <cell r="B11" t="str">
            <v>Emily</v>
          </cell>
          <cell r="C11" t="str">
            <v>Wilson</v>
          </cell>
          <cell r="D11" t="str">
            <v>Product Development</v>
          </cell>
        </row>
        <row r="12">
          <cell r="A12">
            <v>11</v>
          </cell>
          <cell r="B12" t="str">
            <v>Ronny</v>
          </cell>
          <cell r="C12" t="str">
            <v>Chan</v>
          </cell>
          <cell r="D12" t="str">
            <v>Artifical Intelligence</v>
          </cell>
        </row>
      </sheetData>
      <sheetData sheetId="1"/>
      <sheetData sheetId="2">
        <row r="2">
          <cell r="J2">
            <v>1</v>
          </cell>
          <cell r="L2">
            <v>5</v>
          </cell>
          <cell r="M2">
            <v>4</v>
          </cell>
        </row>
        <row r="3">
          <cell r="J3">
            <v>2</v>
          </cell>
          <cell r="L3">
            <v>5</v>
          </cell>
          <cell r="M3">
            <v>4</v>
          </cell>
        </row>
        <row r="4">
          <cell r="J4">
            <v>3</v>
          </cell>
          <cell r="L4">
            <v>5</v>
          </cell>
          <cell r="M4">
            <v>3</v>
          </cell>
        </row>
        <row r="5">
          <cell r="J5">
            <v>4</v>
          </cell>
          <cell r="L5">
            <v>5</v>
          </cell>
          <cell r="M5">
            <v>3</v>
          </cell>
        </row>
        <row r="6">
          <cell r="J6">
            <v>5</v>
          </cell>
          <cell r="L6">
            <v>5</v>
          </cell>
          <cell r="M6">
            <v>2</v>
          </cell>
        </row>
        <row r="7">
          <cell r="J7">
            <v>6</v>
          </cell>
          <cell r="L7">
            <v>5</v>
          </cell>
          <cell r="M7">
            <v>1</v>
          </cell>
        </row>
        <row r="8">
          <cell r="J8">
            <v>7</v>
          </cell>
          <cell r="L8">
            <v>5</v>
          </cell>
          <cell r="M8">
            <v>2</v>
          </cell>
        </row>
        <row r="9">
          <cell r="J9">
            <v>8</v>
          </cell>
          <cell r="L9">
            <v>5</v>
          </cell>
          <cell r="M9">
            <v>3</v>
          </cell>
        </row>
        <row r="10">
          <cell r="J10">
            <v>9</v>
          </cell>
          <cell r="L10">
            <v>5</v>
          </cell>
          <cell r="M10">
            <v>4</v>
          </cell>
        </row>
        <row r="11">
          <cell r="J11">
            <v>10</v>
          </cell>
          <cell r="L11">
            <v>5</v>
          </cell>
          <cell r="M11">
            <v>3</v>
          </cell>
        </row>
        <row r="12">
          <cell r="J12">
            <v>11</v>
          </cell>
          <cell r="L12">
            <v>5</v>
          </cell>
          <cell r="M12">
            <v>3</v>
          </cell>
        </row>
      </sheetData>
      <sheetData sheetId="3">
        <row r="2">
          <cell r="C2" t="str">
            <v>S01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SHRI" refreshedDate="45981.480608912039" createdVersion="8" refreshedVersion="8" minRefreshableVersion="3" recordCount="11" xr:uid="{95DFAE12-9AFF-49AF-B3B4-8B78DEC11514}">
  <cacheSource type="worksheet">
    <worksheetSource ref="A1:H12" sheet="Raw Data"/>
  </cacheSource>
  <cacheFields count="8">
    <cacheField name="Emp_id" numFmtId="0">
      <sharedItems containsSemiMixedTypes="0" containsString="0" containsNumber="1" containsInteger="1" minValue="1" maxValue="11" count="11">
        <n v="1"/>
        <n v="2"/>
        <n v="3"/>
        <n v="4"/>
        <n v="5"/>
        <n v="6"/>
        <n v="7"/>
        <n v="8"/>
        <n v="9"/>
        <n v="10"/>
        <n v="11"/>
      </sharedItems>
    </cacheField>
    <cacheField name="First Name" numFmtId="0">
      <sharedItems count="11">
        <s v="Robert"/>
        <s v="Sam"/>
        <s v="Sherly"/>
        <s v="Chandler"/>
        <s v="Chi"/>
        <s v="Max"/>
        <s v="Monica"/>
        <s v="Alice"/>
        <s v="Carol"/>
        <s v="Emily"/>
        <s v="Ronny"/>
      </sharedItems>
    </cacheField>
    <cacheField name="Last name" numFmtId="0">
      <sharedItems/>
    </cacheField>
    <cacheField name="Depart" numFmtId="0">
      <sharedItems/>
    </cacheField>
    <cacheField name="Required Proficiency" numFmtId="0">
      <sharedItems containsSemiMixedTypes="0" containsString="0" containsNumber="1" containsInteger="1" minValue="5" maxValue="5"/>
    </cacheField>
    <cacheField name="Current Proficiency" numFmtId="0">
      <sharedItems containsSemiMixedTypes="0" containsString="0" containsNumber="1" containsInteger="1" minValue="1" maxValue="4"/>
    </cacheField>
    <cacheField name="Productivity Risk Score" numFmtId="0">
      <sharedItems containsSemiMixedTypes="0" containsString="0" containsNumber="1" containsInteger="1" minValue="1" maxValue="4"/>
    </cacheField>
    <cacheField name="Affected Skill Count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s v="John"/>
    <s v="Marketing"/>
    <n v="5"/>
    <n v="4"/>
    <n v="1"/>
    <n v="1"/>
  </r>
  <r>
    <x v="1"/>
    <x v="1"/>
    <s v="Tom"/>
    <s v="IT"/>
    <n v="5"/>
    <n v="4"/>
    <n v="1"/>
    <n v="1"/>
  </r>
  <r>
    <x v="2"/>
    <x v="2"/>
    <s v="Nick"/>
    <s v="Ecommerece"/>
    <n v="5"/>
    <n v="3"/>
    <n v="2"/>
    <n v="1"/>
  </r>
  <r>
    <x v="3"/>
    <x v="3"/>
    <s v="Bing"/>
    <s v="Cyber"/>
    <n v="5"/>
    <n v="3"/>
    <n v="2"/>
    <n v="1"/>
  </r>
  <r>
    <x v="4"/>
    <x v="4"/>
    <s v="Ling"/>
    <s v="Admin"/>
    <n v="5"/>
    <n v="2"/>
    <n v="3"/>
    <n v="1"/>
  </r>
  <r>
    <x v="5"/>
    <x v="5"/>
    <s v="Johnson"/>
    <s v="Support"/>
    <n v="5"/>
    <n v="1"/>
    <n v="4"/>
    <n v="1"/>
  </r>
  <r>
    <x v="6"/>
    <x v="6"/>
    <s v="Gellered"/>
    <s v="Food"/>
    <n v="5"/>
    <n v="2"/>
    <n v="3"/>
    <n v="1"/>
  </r>
  <r>
    <x v="7"/>
    <x v="7"/>
    <s v="W"/>
    <s v="Sales"/>
    <n v="5"/>
    <n v="3"/>
    <n v="2"/>
    <n v="1"/>
  </r>
  <r>
    <x v="8"/>
    <x v="8"/>
    <s v="Davis"/>
    <s v="Finance"/>
    <n v="5"/>
    <n v="4"/>
    <n v="1"/>
    <n v="1"/>
  </r>
  <r>
    <x v="9"/>
    <x v="9"/>
    <s v="Wilson"/>
    <s v="Product Development"/>
    <n v="5"/>
    <n v="3"/>
    <n v="2"/>
    <n v="1"/>
  </r>
  <r>
    <x v="10"/>
    <x v="10"/>
    <s v="Chan"/>
    <s v="Artifical Intelligence"/>
    <n v="5"/>
    <n v="3"/>
    <n v="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8281F-4BC4-43CC-B222-A8BEA760D08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High_Risk IDS">
  <location ref="A3:C15" firstHeaderRow="0" firstDataRow="1" firstDataCol="1" rowPageCount="1" colPageCount="1"/>
  <pivotFields count="8">
    <pivotField axis="axisRow" showAll="0" sortType="descending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howAll="0">
      <items count="12">
        <item x="7"/>
        <item x="8"/>
        <item x="3"/>
        <item x="4"/>
        <item x="9"/>
        <item x="5"/>
        <item x="6"/>
        <item x="0"/>
        <item x="1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 Productivity Risk Score" fld="6" baseField="0" baseItem="0"/>
    <dataField name="Sum of Affected Skill Count" fld="7" baseField="0" baseItem="0"/>
  </dataFields>
  <formats count="29"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1">
          <reference field="0" count="0"/>
        </references>
      </pivotArea>
    </format>
    <format dxfId="17">
      <pivotArea dataOnly="0" labelOnly="1" fieldPosition="0">
        <references count="1">
          <reference field="0" count="0"/>
        </references>
      </pivotArea>
    </format>
    <format dxfId="18">
      <pivotArea collapsedLevelsAreSubtotals="1" fieldPosition="0">
        <references count="1">
          <reference field="0" count="0"/>
        </references>
      </pivotArea>
    </format>
    <format dxfId="19">
      <pivotArea dataOnly="0" labelOnly="1" fieldPosition="0">
        <references count="1">
          <reference field="0" count="0"/>
        </references>
      </pivotArea>
    </format>
    <format dxfId="20">
      <pivotArea collapsedLevelsAreSubtotals="1" fieldPosition="0">
        <references count="1">
          <reference field="0" count="0"/>
        </references>
      </pivotArea>
    </format>
    <format dxfId="21">
      <pivotArea field="0" type="button" dataOnly="0" labelOnly="1" outline="0" axis="axisRow" fieldPosition="0"/>
    </format>
    <format dxfId="22">
      <pivotArea dataOnly="0" labelOnly="1" fieldPosition="0">
        <references count="1">
          <reference field="0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">
      <pivotArea grandRow="1" outline="0" collapsedLevelsAreSubtotals="1" fieldPosition="0"/>
    </format>
    <format dxfId="25">
      <pivotArea dataOnly="0" labelOnly="1" grandRow="1" outline="0" fieldPosition="0"/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dataOnly="0" labelOnly="1" grandRow="1" outline="0" fieldPosition="0"/>
    </format>
    <format dxfId="29">
      <pivotArea type="all" dataOnly="0" outline="0" fieldPosition="0"/>
    </format>
    <format dxfId="30">
      <pivotArea outline="0" collapsedLevelsAreSubtotals="1" fieldPosition="0"/>
    </format>
    <format dxfId="31">
      <pivotArea dataOnly="0" labelOnly="1" grandRow="1" outline="0" fieldPosition="0"/>
    </format>
    <format dxfId="9">
      <pivotArea collapsedLevelsAreSubtotals="1" fieldPosition="0">
        <references count="1">
          <reference field="0" count="0"/>
        </references>
      </pivotArea>
    </format>
    <format dxfId="8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collapsedLevelsAreSubtotals="1" fieldPosition="0">
        <references count="1">
          <reference field="0" count="0"/>
        </references>
      </pivotArea>
    </format>
    <format dxfId="1">
      <pivotArea field="0" type="button" dataOnly="0" labelOnly="1" outline="0" axis="axisRow" fieldPosition="0"/>
    </format>
    <format dxfId="0">
      <pivotArea dataOnly="0" labelOnly="1" fieldPosition="0">
        <references count="1">
          <reference field="0" count="0"/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3">
              <x v="4"/>
              <x v="5"/>
              <x v="6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3">
              <x v="4"/>
              <x v="5"/>
              <x v="6"/>
            </reference>
          </references>
        </pivotArea>
      </pivotAreas>
    </conditionalFormat>
  </conditionalFormats>
  <chartFormats count="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EA6BA-55AD-4106-9C56-5DE263B55605}">
  <dimension ref="A1:H12"/>
  <sheetViews>
    <sheetView tabSelected="1" workbookViewId="0">
      <selection activeCell="I18" sqref="I18"/>
    </sheetView>
  </sheetViews>
  <sheetFormatPr defaultRowHeight="14.4" x14ac:dyDescent="0.3"/>
  <cols>
    <col min="2" max="2" width="9.77734375" bestFit="1" customWidth="1"/>
    <col min="4" max="4" width="18.88671875" bestFit="1" customWidth="1"/>
    <col min="5" max="5" width="17.88671875" bestFit="1" customWidth="1"/>
    <col min="6" max="6" width="16.6640625" bestFit="1" customWidth="1"/>
    <col min="7" max="7" width="20.33203125" bestFit="1" customWidth="1"/>
    <col min="8" max="8" width="17.77734375" bestFit="1" customWidth="1"/>
  </cols>
  <sheetData>
    <row r="1" spans="1:8" x14ac:dyDescent="0.3">
      <c r="A1" s="5" t="s">
        <v>0</v>
      </c>
      <c r="B1" s="6" t="s">
        <v>1</v>
      </c>
      <c r="C1" s="6" t="s">
        <v>3</v>
      </c>
      <c r="D1" s="6" t="s">
        <v>2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16.8" x14ac:dyDescent="0.3">
      <c r="A2" s="7">
        <v>1</v>
      </c>
      <c r="B2" s="8" t="str">
        <f>_xlfn.XLOOKUP(A2,[1]Emps!$A$2:$A$12,[1]Emps!$B$2:$B$12,"Not Found")</f>
        <v>Robert</v>
      </c>
      <c r="C2" s="8" t="str">
        <f>_xlfn.XLOOKUP(A2,[1]Emps!$A$2:$A$12,[1]Emps!$C$2:$C$12,"Not Found")</f>
        <v>John</v>
      </c>
      <c r="D2" s="8" t="str">
        <f>_xlfn.XLOOKUP(A2,[1]Emps!$A$2:$A$12,[1]Emps!$D$2:$D$12,"Not Found")</f>
        <v>Marketing</v>
      </c>
      <c r="E2" s="8">
        <f>_xlfn.XLOOKUP(A2,[1]Emp_skills!$J$2:$J$12,[1]Emp_skills!$L$2:$L$12,"Not Found")</f>
        <v>5</v>
      </c>
      <c r="F2" s="8">
        <f>_xlfn.XLOOKUP(A2,[1]Emp_skills!$J$2:$J$12,[1]Emp_skills!$M$2:$M$12,"Not Found")</f>
        <v>4</v>
      </c>
      <c r="G2" s="8">
        <f>SUM(E2-F2)</f>
        <v>1</v>
      </c>
      <c r="H2" s="8">
        <f>IF(G2&gt;0,1,0)</f>
        <v>1</v>
      </c>
    </row>
    <row r="3" spans="1:8" ht="16.8" x14ac:dyDescent="0.3">
      <c r="A3" s="7">
        <v>2</v>
      </c>
      <c r="B3" s="8" t="str">
        <f>_xlfn.XLOOKUP(A3,[1]Emps!$A$2:$A$12,[1]Emps!$B$2:$B$12,"Not Found")</f>
        <v>Sam</v>
      </c>
      <c r="C3" s="8" t="str">
        <f>_xlfn.XLOOKUP(A3,[1]Emps!$A$2:$A$12,[1]Emps!$C$2:$C$12,"Not Found")</f>
        <v>Tom</v>
      </c>
      <c r="D3" s="8" t="str">
        <f>_xlfn.XLOOKUP(A3,[1]Emps!$A$2:$A$12,[1]Emps!$D$2:$D$12,"Not Found")</f>
        <v>IT</v>
      </c>
      <c r="E3" s="8">
        <f>_xlfn.XLOOKUP(A3,[1]Emp_skills!$J$2:$J$12,[1]Emp_skills!$L$2:$L$12,"Not Found")</f>
        <v>5</v>
      </c>
      <c r="F3" s="8">
        <f>_xlfn.XLOOKUP(A3,[1]Emp_skills!$J$2:$J$12,[1]Emp_skills!$M$2:$M$12,"Not Found")</f>
        <v>4</v>
      </c>
      <c r="G3" s="8">
        <f t="shared" ref="G3:G12" si="0">SUM(E3-F3)</f>
        <v>1</v>
      </c>
      <c r="H3" s="8">
        <f t="shared" ref="H3:H12" si="1">IF(G3&gt;0,1,0)</f>
        <v>1</v>
      </c>
    </row>
    <row r="4" spans="1:8" ht="16.8" x14ac:dyDescent="0.3">
      <c r="A4" s="7">
        <v>3</v>
      </c>
      <c r="B4" s="8" t="str">
        <f>_xlfn.XLOOKUP(A4,[1]Emps!$A$2:$A$12,[1]Emps!$B$2:$B$12,"Not Found")</f>
        <v>Sherly</v>
      </c>
      <c r="C4" s="8" t="str">
        <f>_xlfn.XLOOKUP(A4,[1]Emps!$A$2:$A$12,[1]Emps!$C$2:$C$12,"Not Found")</f>
        <v>Nick</v>
      </c>
      <c r="D4" s="8" t="str">
        <f>_xlfn.XLOOKUP(A4,[1]Emps!$A$2:$A$12,[1]Emps!$D$2:$D$12,"Not Found")</f>
        <v>Ecommerece</v>
      </c>
      <c r="E4" s="8">
        <f>_xlfn.XLOOKUP(A4,[1]Emp_skills!$J$2:$J$12,[1]Emp_skills!$L$2:$L$12,"Not Found")</f>
        <v>5</v>
      </c>
      <c r="F4" s="8">
        <f>_xlfn.XLOOKUP(A4,[1]Emp_skills!$J$2:$J$12,[1]Emp_skills!$M$2:$M$12,"Not Found")</f>
        <v>3</v>
      </c>
      <c r="G4" s="8">
        <f t="shared" si="0"/>
        <v>2</v>
      </c>
      <c r="H4" s="8">
        <f t="shared" si="1"/>
        <v>1</v>
      </c>
    </row>
    <row r="5" spans="1:8" ht="16.8" x14ac:dyDescent="0.3">
      <c r="A5" s="7">
        <v>4</v>
      </c>
      <c r="B5" s="8" t="str">
        <f>_xlfn.XLOOKUP(A5,[1]Emps!$A$2:$A$12,[1]Emps!$B$2:$B$12,"Not Found")</f>
        <v>Chandler</v>
      </c>
      <c r="C5" s="8" t="str">
        <f>_xlfn.XLOOKUP(A5,[1]Emps!$A$2:$A$12,[1]Emps!$C$2:$C$12,"Not Found")</f>
        <v>Bing</v>
      </c>
      <c r="D5" s="8" t="str">
        <f>_xlfn.XLOOKUP(A5,[1]Emps!$A$2:$A$12,[1]Emps!$D$2:$D$12,"Not Found")</f>
        <v>Cyber</v>
      </c>
      <c r="E5" s="8">
        <f>_xlfn.XLOOKUP(A5,[1]Emp_skills!$J$2:$J$12,[1]Emp_skills!$L$2:$L$12,"Not Found")</f>
        <v>5</v>
      </c>
      <c r="F5" s="8">
        <f>_xlfn.XLOOKUP(A5,[1]Emp_skills!$J$2:$J$12,[1]Emp_skills!$M$2:$M$12,"Not Found")</f>
        <v>3</v>
      </c>
      <c r="G5" s="8">
        <f t="shared" si="0"/>
        <v>2</v>
      </c>
      <c r="H5" s="8">
        <f t="shared" si="1"/>
        <v>1</v>
      </c>
    </row>
    <row r="6" spans="1:8" ht="16.8" x14ac:dyDescent="0.3">
      <c r="A6" s="7">
        <v>5</v>
      </c>
      <c r="B6" s="8" t="str">
        <f>_xlfn.XLOOKUP(A6,[1]Emps!$A$2:$A$12,[1]Emps!$B$2:$B$12,"Not Found")</f>
        <v>Chi</v>
      </c>
      <c r="C6" s="8" t="str">
        <f>_xlfn.XLOOKUP(A6,[1]Emps!$A$2:$A$12,[1]Emps!$C$2:$C$12,"Not Found")</f>
        <v>Ling</v>
      </c>
      <c r="D6" s="8" t="str">
        <f>_xlfn.XLOOKUP(A6,[1]Emps!$A$2:$A$12,[1]Emps!$D$2:$D$12,"Not Found")</f>
        <v>Admin</v>
      </c>
      <c r="E6" s="8">
        <f>_xlfn.XLOOKUP(A6,[1]Emp_skills!$J$2:$J$12,[1]Emp_skills!$L$2:$L$12,"Not Found")</f>
        <v>5</v>
      </c>
      <c r="F6" s="8">
        <f>_xlfn.XLOOKUP(A6,[1]Emp_skills!$J$2:$J$12,[1]Emp_skills!$M$2:$M$12,"Not Found")</f>
        <v>2</v>
      </c>
      <c r="G6" s="8">
        <f t="shared" si="0"/>
        <v>3</v>
      </c>
      <c r="H6" s="8">
        <f t="shared" si="1"/>
        <v>1</v>
      </c>
    </row>
    <row r="7" spans="1:8" ht="16.8" x14ac:dyDescent="0.3">
      <c r="A7" s="7">
        <v>6</v>
      </c>
      <c r="B7" s="8" t="str">
        <f>_xlfn.XLOOKUP(A7,[1]Emps!$A$2:$A$12,[1]Emps!$B$2:$B$12,"Not Found")</f>
        <v>Max</v>
      </c>
      <c r="C7" s="8" t="str">
        <f>_xlfn.XLOOKUP(A7,[1]Emps!$A$2:$A$12,[1]Emps!$C$2:$C$12,"Not Found")</f>
        <v>Johnson</v>
      </c>
      <c r="D7" s="8" t="str">
        <f>_xlfn.XLOOKUP(A7,[1]Emps!$A$2:$A$12,[1]Emps!$D$2:$D$12,"Not Found")</f>
        <v>Support</v>
      </c>
      <c r="E7" s="8">
        <f>_xlfn.XLOOKUP(A7,[1]Emp_skills!$J$2:$J$12,[1]Emp_skills!$L$2:$L$12,"Not Found")</f>
        <v>5</v>
      </c>
      <c r="F7" s="8">
        <f>_xlfn.XLOOKUP(A7,[1]Emp_skills!$J$2:$J$12,[1]Emp_skills!$M$2:$M$12,"Not Found")</f>
        <v>1</v>
      </c>
      <c r="G7" s="8">
        <f t="shared" si="0"/>
        <v>4</v>
      </c>
      <c r="H7" s="8">
        <f t="shared" si="1"/>
        <v>1</v>
      </c>
    </row>
    <row r="8" spans="1:8" ht="16.8" x14ac:dyDescent="0.3">
      <c r="A8" s="7">
        <v>7</v>
      </c>
      <c r="B8" s="8" t="str">
        <f>_xlfn.XLOOKUP(A8,[1]Emps!$A$2:$A$12,[1]Emps!$B$2:$B$12,"Not Found")</f>
        <v>Monica</v>
      </c>
      <c r="C8" s="8" t="str">
        <f>_xlfn.XLOOKUP(A8,[1]Emps!$A$2:$A$12,[1]Emps!$C$2:$C$12,"Not Found")</f>
        <v>Gellered</v>
      </c>
      <c r="D8" s="8" t="str">
        <f>_xlfn.XLOOKUP(A8,[1]Emps!$A$2:$A$12,[1]Emps!$D$2:$D$12,"Not Found")</f>
        <v>Food</v>
      </c>
      <c r="E8" s="8">
        <f>_xlfn.XLOOKUP(A8,[1]Emp_skills!$J$2:$J$12,[1]Emp_skills!$L$2:$L$12,"Not Found")</f>
        <v>5</v>
      </c>
      <c r="F8" s="8">
        <f>_xlfn.XLOOKUP(A8,[1]Emp_skills!$J$2:$J$12,[1]Emp_skills!$M$2:$M$12,"Not Found")</f>
        <v>2</v>
      </c>
      <c r="G8" s="8">
        <f t="shared" si="0"/>
        <v>3</v>
      </c>
      <c r="H8" s="8">
        <f t="shared" si="1"/>
        <v>1</v>
      </c>
    </row>
    <row r="9" spans="1:8" ht="16.8" x14ac:dyDescent="0.3">
      <c r="A9" s="7">
        <v>8</v>
      </c>
      <c r="B9" s="8" t="str">
        <f>_xlfn.XLOOKUP(A9,[1]Emps!$A$2:$A$12,[1]Emps!$B$2:$B$12,"Not Found")</f>
        <v>Alice</v>
      </c>
      <c r="C9" s="8" t="str">
        <f>_xlfn.XLOOKUP(A9,[1]Emps!$A$2:$A$12,[1]Emps!$C$2:$C$12,"Not Found")</f>
        <v>W</v>
      </c>
      <c r="D9" s="8" t="str">
        <f>_xlfn.XLOOKUP(A9,[1]Emps!$A$2:$A$12,[1]Emps!$D$2:$D$12,"Not Found")</f>
        <v>Sales</v>
      </c>
      <c r="E9" s="8">
        <f>_xlfn.XLOOKUP(A9,[1]Emp_skills!$J$2:$J$12,[1]Emp_skills!$L$2:$L$12,"Not Found")</f>
        <v>5</v>
      </c>
      <c r="F9" s="8">
        <f>_xlfn.XLOOKUP(A9,[1]Emp_skills!$J$2:$J$12,[1]Emp_skills!$M$2:$M$12,"Not Found")</f>
        <v>3</v>
      </c>
      <c r="G9" s="8">
        <f t="shared" si="0"/>
        <v>2</v>
      </c>
      <c r="H9" s="8">
        <f t="shared" si="1"/>
        <v>1</v>
      </c>
    </row>
    <row r="10" spans="1:8" ht="16.8" x14ac:dyDescent="0.3">
      <c r="A10" s="7">
        <v>9</v>
      </c>
      <c r="B10" s="8" t="str">
        <f>_xlfn.XLOOKUP(A10,[1]Emps!$A$2:$A$12,[1]Emps!$B$2:$B$12,"Not Found")</f>
        <v>Carol</v>
      </c>
      <c r="C10" s="8" t="str">
        <f>_xlfn.XLOOKUP(A10,[1]Emps!$A$2:$A$12,[1]Emps!$C$2:$C$12,"Not Found")</f>
        <v>Davis</v>
      </c>
      <c r="D10" s="8" t="str">
        <f>_xlfn.XLOOKUP(A10,[1]Emps!$A$2:$A$12,[1]Emps!$D$2:$D$12,"Not Found")</f>
        <v>Finance</v>
      </c>
      <c r="E10" s="8">
        <f>_xlfn.XLOOKUP(A10,[1]Emp_skills!$J$2:$J$12,[1]Emp_skills!$L$2:$L$12,"Not Found")</f>
        <v>5</v>
      </c>
      <c r="F10" s="8">
        <f>_xlfn.XLOOKUP(A10,[1]Emp_skills!$J$2:$J$12,[1]Emp_skills!$M$2:$M$12,"Not Found")</f>
        <v>4</v>
      </c>
      <c r="G10" s="8">
        <f t="shared" si="0"/>
        <v>1</v>
      </c>
      <c r="H10" s="8">
        <f t="shared" si="1"/>
        <v>1</v>
      </c>
    </row>
    <row r="11" spans="1:8" ht="16.8" x14ac:dyDescent="0.3">
      <c r="A11" s="7">
        <v>10</v>
      </c>
      <c r="B11" s="8" t="str">
        <f>_xlfn.XLOOKUP(A11,[1]Emps!$A$2:$A$12,[1]Emps!$B$2:$B$12,"Not Found")</f>
        <v>Emily</v>
      </c>
      <c r="C11" s="8" t="str">
        <f>_xlfn.XLOOKUP(A11,[1]Emps!$A$2:$A$12,[1]Emps!$C$2:$C$12,"Not Found")</f>
        <v>Wilson</v>
      </c>
      <c r="D11" s="8" t="str">
        <f>_xlfn.XLOOKUP(A11,[1]Emps!$A$2:$A$12,[1]Emps!$D$2:$D$12,"Not Found")</f>
        <v>Product Development</v>
      </c>
      <c r="E11" s="8">
        <f>_xlfn.XLOOKUP(A11,[1]Emp_skills!$J$2:$J$12,[1]Emp_skills!$L$2:$L$12,"Not Found")</f>
        <v>5</v>
      </c>
      <c r="F11" s="8">
        <f>_xlfn.XLOOKUP(A11,[1]Emp_skills!$J$2:$J$12,[1]Emp_skills!$M$2:$M$12,"Not Found")</f>
        <v>3</v>
      </c>
      <c r="G11" s="8">
        <f t="shared" si="0"/>
        <v>2</v>
      </c>
      <c r="H11" s="8">
        <f t="shared" si="1"/>
        <v>1</v>
      </c>
    </row>
    <row r="12" spans="1:8" ht="16.8" x14ac:dyDescent="0.3">
      <c r="A12" s="7">
        <v>11</v>
      </c>
      <c r="B12" s="8" t="str">
        <f>_xlfn.XLOOKUP(A12,[1]Emps!$A$2:$A$12,[1]Emps!$B$2:$B$12,"Not Found")</f>
        <v>Ronny</v>
      </c>
      <c r="C12" s="8" t="str">
        <f>_xlfn.XLOOKUP(A12,[1]Emps!$A$2:$A$12,[1]Emps!$C$2:$C$12,"Not Found")</f>
        <v>Chan</v>
      </c>
      <c r="D12" s="8" t="str">
        <f>_xlfn.XLOOKUP(A12,[1]Emps!$A$2:$A$12,[1]Emps!$D$2:$D$12,"Not Found")</f>
        <v>Artifical Intelligence</v>
      </c>
      <c r="E12" s="8">
        <f>_xlfn.XLOOKUP(A12,[1]Emp_skills!$J$2:$J$12,[1]Emp_skills!$L$2:$L$12,"Not Found")</f>
        <v>5</v>
      </c>
      <c r="F12" s="8">
        <f>_xlfn.XLOOKUP(A12,[1]Emp_skills!$J$2:$J$12,[1]Emp_skills!$M$2:$M$12,"Not Found")</f>
        <v>3</v>
      </c>
      <c r="G12" s="8">
        <f t="shared" si="0"/>
        <v>2</v>
      </c>
      <c r="H12" s="8">
        <f t="shared" si="1"/>
        <v>1</v>
      </c>
    </row>
  </sheetData>
  <conditionalFormatting sqref="G2:G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C5B4-D172-44A1-AA31-1E173D91C26B}">
  <dimension ref="A1:F15"/>
  <sheetViews>
    <sheetView workbookViewId="0">
      <selection activeCell="D17" sqref="D17"/>
    </sheetView>
  </sheetViews>
  <sheetFormatPr defaultRowHeight="14.4" x14ac:dyDescent="0.3"/>
  <cols>
    <col min="1" max="1" width="14.5546875" bestFit="1" customWidth="1"/>
    <col min="2" max="2" width="27" bestFit="1" customWidth="1"/>
    <col min="3" max="3" width="24.33203125" bestFit="1" customWidth="1"/>
    <col min="4" max="4" width="9.88671875" bestFit="1" customWidth="1"/>
    <col min="5" max="5" width="10.21875" bestFit="1" customWidth="1"/>
    <col min="6" max="6" width="18.88671875" bestFit="1" customWidth="1"/>
    <col min="7" max="7" width="4.6640625" bestFit="1" customWidth="1"/>
    <col min="8" max="8" width="7.33203125" bestFit="1" customWidth="1"/>
    <col min="9" max="9" width="6.6640625" bestFit="1" customWidth="1"/>
    <col min="10" max="10" width="6.44140625" bestFit="1" customWidth="1"/>
    <col min="11" max="11" width="4.6640625" bestFit="1" customWidth="1"/>
    <col min="12" max="12" width="6.21875" bestFit="1" customWidth="1"/>
    <col min="13" max="13" width="24.33203125" bestFit="1" customWidth="1"/>
    <col min="14" max="14" width="5.33203125" bestFit="1" customWidth="1"/>
    <col min="15" max="15" width="8.5546875" bestFit="1" customWidth="1"/>
    <col min="16" max="16" width="3.6640625" bestFit="1" customWidth="1"/>
    <col min="17" max="17" width="5.5546875" bestFit="1" customWidth="1"/>
    <col min="18" max="18" width="4.6640625" bestFit="1" customWidth="1"/>
    <col min="19" max="19" width="7.33203125" bestFit="1" customWidth="1"/>
    <col min="20" max="20" width="6.6640625" bestFit="1" customWidth="1"/>
    <col min="21" max="21" width="6.44140625" bestFit="1" customWidth="1"/>
    <col min="22" max="22" width="4.6640625" bestFit="1" customWidth="1"/>
    <col min="23" max="23" width="6.21875" bestFit="1" customWidth="1"/>
    <col min="24" max="24" width="31.77734375" bestFit="1" customWidth="1"/>
    <col min="25" max="25" width="29.109375" bestFit="1" customWidth="1"/>
  </cols>
  <sheetData>
    <row r="1" spans="1:6" x14ac:dyDescent="0.3">
      <c r="A1" s="1" t="s">
        <v>1</v>
      </c>
      <c r="B1" s="2" t="s">
        <v>10</v>
      </c>
    </row>
    <row r="3" spans="1:6" x14ac:dyDescent="0.3">
      <c r="A3" s="9" t="s">
        <v>11</v>
      </c>
      <c r="B3" s="4" t="s">
        <v>13</v>
      </c>
      <c r="C3" s="4" t="s">
        <v>9</v>
      </c>
      <c r="D3" s="10" t="s">
        <v>1</v>
      </c>
      <c r="E3" s="10" t="s">
        <v>12</v>
      </c>
      <c r="F3" s="10" t="s">
        <v>2</v>
      </c>
    </row>
    <row r="4" spans="1:6" x14ac:dyDescent="0.3">
      <c r="A4" s="4">
        <v>11</v>
      </c>
      <c r="B4" s="4">
        <v>2</v>
      </c>
      <c r="C4" s="4">
        <v>1</v>
      </c>
      <c r="D4" s="11" t="str">
        <f>_xlfn.XLOOKUP(A4,'Raw Data'!A2:A12,'Raw Data'!B2:B12)</f>
        <v>Ronny</v>
      </c>
      <c r="E4" s="12" t="str">
        <f>_xlfn.XLOOKUP(A4,'Raw Data'!A2:A12,'Raw Data'!C2:C12)</f>
        <v>Chan</v>
      </c>
      <c r="F4" s="13" t="str">
        <f>_xlfn.XLOOKUP(A4,'Raw Data'!A2:A12,'Raw Data'!D2:D12)</f>
        <v>Artifical Intelligence</v>
      </c>
    </row>
    <row r="5" spans="1:6" x14ac:dyDescent="0.3">
      <c r="A5" s="4">
        <v>10</v>
      </c>
      <c r="B5" s="4">
        <v>2</v>
      </c>
      <c r="C5" s="4">
        <v>1</v>
      </c>
      <c r="D5" s="11" t="str">
        <f>_xlfn.XLOOKUP(A5,'Raw Data'!A3:A13,'Raw Data'!B3:B13)</f>
        <v>Emily</v>
      </c>
      <c r="E5" s="12" t="str">
        <f>_xlfn.XLOOKUP(A5,'Raw Data'!A3:A13,'Raw Data'!C3:C13)</f>
        <v>Wilson</v>
      </c>
      <c r="F5" s="13" t="str">
        <f>_xlfn.XLOOKUP(A5,'Raw Data'!A3:A13,'Raw Data'!D3:D13)</f>
        <v>Product Development</v>
      </c>
    </row>
    <row r="6" spans="1:6" x14ac:dyDescent="0.3">
      <c r="A6" s="4">
        <v>9</v>
      </c>
      <c r="B6" s="4">
        <v>1</v>
      </c>
      <c r="C6" s="4">
        <v>1</v>
      </c>
      <c r="D6" s="11" t="str">
        <f>_xlfn.XLOOKUP(A6,'Raw Data'!A4:A14,'Raw Data'!B4:B14)</f>
        <v>Carol</v>
      </c>
      <c r="E6" s="12" t="str">
        <f>_xlfn.XLOOKUP(A6,'Raw Data'!A4:A14,'Raw Data'!C4:C14)</f>
        <v>Davis</v>
      </c>
      <c r="F6" s="13" t="str">
        <f>_xlfn.XLOOKUP(A6,'Raw Data'!A4:A14,'Raw Data'!D4:D14)</f>
        <v>Finance</v>
      </c>
    </row>
    <row r="7" spans="1:6" x14ac:dyDescent="0.3">
      <c r="A7" s="4">
        <v>8</v>
      </c>
      <c r="B7" s="4">
        <v>2</v>
      </c>
      <c r="C7" s="4">
        <v>1</v>
      </c>
      <c r="D7" s="11" t="str">
        <f>_xlfn.XLOOKUP(A7,'Raw Data'!A5:A15,'Raw Data'!B5:B15)</f>
        <v>Alice</v>
      </c>
      <c r="E7" s="12" t="str">
        <f>_xlfn.XLOOKUP(A7,'Raw Data'!A5:A15,'Raw Data'!C5:C15)</f>
        <v>W</v>
      </c>
      <c r="F7" s="13" t="str">
        <f>_xlfn.XLOOKUP(A7,'Raw Data'!A5:A15,'Raw Data'!D5:D15)</f>
        <v>Sales</v>
      </c>
    </row>
    <row r="8" spans="1:6" x14ac:dyDescent="0.3">
      <c r="A8" s="4">
        <v>7</v>
      </c>
      <c r="B8" s="4">
        <v>3</v>
      </c>
      <c r="C8" s="4">
        <v>1</v>
      </c>
      <c r="D8" s="11" t="str">
        <f>_xlfn.XLOOKUP(A8,'Raw Data'!A6:A16,'Raw Data'!B6:B16)</f>
        <v>Monica</v>
      </c>
      <c r="E8" s="12" t="str">
        <f>_xlfn.XLOOKUP(A8,'Raw Data'!A6:A16,'Raw Data'!C6:C16)</f>
        <v>Gellered</v>
      </c>
      <c r="F8" s="13" t="str">
        <f>_xlfn.XLOOKUP(A8,'Raw Data'!A6:A16,'Raw Data'!D6:D16)</f>
        <v>Food</v>
      </c>
    </row>
    <row r="9" spans="1:6" x14ac:dyDescent="0.3">
      <c r="A9" s="4">
        <v>6</v>
      </c>
      <c r="B9" s="4">
        <v>4</v>
      </c>
      <c r="C9" s="4">
        <v>1</v>
      </c>
      <c r="D9" s="11" t="str">
        <f>_xlfn.XLOOKUP(A9,'Raw Data'!A7:A17,'Raw Data'!B7:B17)</f>
        <v>Max</v>
      </c>
      <c r="E9" s="12" t="str">
        <f>_xlfn.XLOOKUP(A9,'Raw Data'!A7:A17,'Raw Data'!C7:C17)</f>
        <v>Johnson</v>
      </c>
      <c r="F9" s="13" t="str">
        <f>_xlfn.XLOOKUP(A9,'Raw Data'!A7:A17,'Raw Data'!D7:D17)</f>
        <v>Support</v>
      </c>
    </row>
    <row r="10" spans="1:6" x14ac:dyDescent="0.3">
      <c r="A10" s="4">
        <v>5</v>
      </c>
      <c r="B10" s="4">
        <v>3</v>
      </c>
      <c r="C10" s="4">
        <v>1</v>
      </c>
      <c r="D10" s="11" t="str">
        <f>_xlfn.XLOOKUP(A10,'Raw Data'!A2:A12,'Raw Data'!B2:B12)</f>
        <v>Chi</v>
      </c>
      <c r="E10" s="12" t="str">
        <f>_xlfn.XLOOKUP(A10,'Raw Data'!A2:A12,'Raw Data'!C2:C12)</f>
        <v>Ling</v>
      </c>
      <c r="F10" s="13" t="str">
        <f>_xlfn.XLOOKUP(A10,'Raw Data'!A2:A12,'Raw Data'!D2:D12)</f>
        <v>Admin</v>
      </c>
    </row>
    <row r="11" spans="1:6" x14ac:dyDescent="0.3">
      <c r="A11" s="4">
        <v>4</v>
      </c>
      <c r="B11" s="4">
        <v>2</v>
      </c>
      <c r="C11" s="4">
        <v>1</v>
      </c>
      <c r="D11" s="11" t="str">
        <f>_xlfn.XLOOKUP(A11,'Raw Data'!A3:A13,'Raw Data'!B3:B13)</f>
        <v>Chandler</v>
      </c>
      <c r="E11" s="12" t="str">
        <f>_xlfn.XLOOKUP(A11,'Raw Data'!A3:A13,'Raw Data'!C3:C13)</f>
        <v>Bing</v>
      </c>
      <c r="F11" s="13" t="str">
        <f>_xlfn.XLOOKUP(A11,'Raw Data'!A3:A13,'Raw Data'!D3:D13)</f>
        <v>Cyber</v>
      </c>
    </row>
    <row r="12" spans="1:6" x14ac:dyDescent="0.3">
      <c r="A12" s="4">
        <v>3</v>
      </c>
      <c r="B12" s="4">
        <v>2</v>
      </c>
      <c r="C12" s="4">
        <v>1</v>
      </c>
      <c r="D12" s="11" t="str">
        <f>_xlfn.XLOOKUP(A12,'Raw Data'!A4:A14,'Raw Data'!B4:B14)</f>
        <v>Sherly</v>
      </c>
      <c r="E12" s="12" t="str">
        <f>_xlfn.XLOOKUP(A12,'Raw Data'!A4:A14,'Raw Data'!C4:C14)</f>
        <v>Nick</v>
      </c>
      <c r="F12" s="13" t="str">
        <f>_xlfn.XLOOKUP(A12,'Raw Data'!A4:A14,'Raw Data'!D4:D14)</f>
        <v>Ecommerece</v>
      </c>
    </row>
    <row r="13" spans="1:6" x14ac:dyDescent="0.3">
      <c r="A13" s="4">
        <v>2</v>
      </c>
      <c r="B13" s="4">
        <v>1</v>
      </c>
      <c r="C13" s="4">
        <v>1</v>
      </c>
      <c r="D13" s="11" t="str">
        <f>_xlfn.XLOOKUP(A13,'Raw Data'!A2:A12,'Raw Data'!B2:B12)</f>
        <v>Sam</v>
      </c>
      <c r="E13" s="12" t="str">
        <f>_xlfn.XLOOKUP(A13,'Raw Data'!A2:A12,'Raw Data'!C2:C12)</f>
        <v>Tom</v>
      </c>
      <c r="F13" s="13" t="str">
        <f>_xlfn.XLOOKUP(A13,'Raw Data'!A2:A12,'Raw Data'!D2:D12)</f>
        <v>IT</v>
      </c>
    </row>
    <row r="14" spans="1:6" x14ac:dyDescent="0.3">
      <c r="A14" s="4">
        <v>1</v>
      </c>
      <c r="B14" s="4">
        <v>1</v>
      </c>
      <c r="C14" s="4">
        <v>1</v>
      </c>
      <c r="D14" s="11" t="str">
        <f>_xlfn.XLOOKUP(A14,'Raw Data'!A2:A12,'Raw Data'!B2:B12)</f>
        <v>Robert</v>
      </c>
      <c r="E14" s="12" t="str">
        <f>_xlfn.XLOOKUP(A14,'Raw Data'!A2:A12,'Raw Data'!C2:C12)</f>
        <v>John</v>
      </c>
      <c r="F14" s="13" t="str">
        <f>_xlfn.XLOOKUP(A14,'Raw Data'!A2:A12,'Raw Data'!D2:D12)</f>
        <v>Marketing</v>
      </c>
    </row>
    <row r="15" spans="1:6" x14ac:dyDescent="0.3">
      <c r="A15" s="4" t="s">
        <v>8</v>
      </c>
      <c r="B15" s="4">
        <v>23</v>
      </c>
      <c r="C15" s="4">
        <v>11</v>
      </c>
      <c r="F15" s="3"/>
    </row>
  </sheetData>
  <conditionalFormatting sqref="A4:A14">
    <cfRule type="cellIs" dxfId="54" priority="12" operator="between">
      <formula>5</formula>
      <formula>7</formula>
    </cfRule>
  </conditionalFormatting>
  <conditionalFormatting sqref="F8:F10">
    <cfRule type="cellIs" dxfId="47" priority="5" operator="equal">
      <formula>$F$8</formula>
    </cfRule>
  </conditionalFormatting>
  <conditionalFormatting pivot="1" sqref="B8:B10">
    <cfRule type="cellIs" dxfId="44" priority="2" operator="between">
      <formula>3</formula>
      <formula>4</formula>
    </cfRule>
  </conditionalFormatting>
  <conditionalFormatting pivot="1" sqref="C8:C10">
    <cfRule type="cellIs" dxfId="32" priority="1" operator="equal">
      <formula>1</formula>
    </cfRule>
  </conditionalFormatting>
  <pageMargins left="0.7" right="0.7" top="0.75" bottom="0.75" header="0.3" footer="0.3"/>
  <ignoredErrors>
    <ignoredError sqref="D5:D9 E5:E9 F5:F9 D11:F12" formulaRang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" operator="containsText" id="{62C9AFCD-21D5-49D3-A88D-179516904DAD}">
            <xm:f>NOT(ISERROR(SEARCH($D$8,D8)))</xm:f>
            <xm:f>$D$8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D8:D10</xm:sqref>
        </x14:conditionalFormatting>
        <x14:conditionalFormatting xmlns:xm="http://schemas.microsoft.com/office/excel/2006/main">
          <x14:cfRule type="containsText" priority="10" operator="containsText" id="{7636E0EB-238D-4CC7-AA16-4C50BFAD47BB}">
            <xm:f>NOT(ISERROR(SEARCH($D$9,D9)))</xm:f>
            <xm:f>$D$9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D9:D10</xm:sqref>
        </x14:conditionalFormatting>
        <x14:conditionalFormatting xmlns:xm="http://schemas.microsoft.com/office/excel/2006/main">
          <x14:cfRule type="containsText" priority="9" operator="containsText" id="{DA91214B-2A30-4D11-ADEF-9B6465427D75}">
            <xm:f>NOT(ISERROR(SEARCH($D$10,D10)))</xm:f>
            <xm:f>$D$10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containsText" priority="8" operator="containsText" id="{76AC8DAE-2CEB-4944-B8E8-C900A25FD1BF}">
            <xm:f>NOT(ISERROR(SEARCH($E$8,E8)))</xm:f>
            <xm:f>$E$8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E8</xm:sqref>
        </x14:conditionalFormatting>
        <x14:conditionalFormatting xmlns:xm="http://schemas.microsoft.com/office/excel/2006/main">
          <x14:cfRule type="containsText" priority="7" operator="containsText" id="{0BE283EB-6A3A-498A-80FF-B654352725AB}">
            <xm:f>NOT(ISERROR(SEARCH($E$9,E9)))</xm:f>
            <xm:f>$E$9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E9</xm:sqref>
        </x14:conditionalFormatting>
        <x14:conditionalFormatting xmlns:xm="http://schemas.microsoft.com/office/excel/2006/main">
          <x14:cfRule type="containsText" priority="6" operator="containsText" id="{991B3A96-5BFD-45DC-8560-9AF1519B1B26}">
            <xm:f>NOT(ISERROR(SEARCH($E$10,E10)))</xm:f>
            <xm:f>$E$10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E10</xm:sqref>
        </x14:conditionalFormatting>
        <x14:conditionalFormatting xmlns:xm="http://schemas.microsoft.com/office/excel/2006/main">
          <x14:cfRule type="containsText" priority="4" operator="containsText" id="{FAAFB23A-9793-43FA-97CB-A557BF6DF635}">
            <xm:f>NOT(ISERROR(SEARCH($F$9,F9)))</xm:f>
            <xm:f>$F$9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F9</xm:sqref>
        </x14:conditionalFormatting>
        <x14:conditionalFormatting xmlns:xm="http://schemas.microsoft.com/office/excel/2006/main">
          <x14:cfRule type="containsText" priority="3" operator="containsText" id="{D56CD19D-C841-4F4B-815B-CEC7A8885960}">
            <xm:f>NOT(ISERROR(SEARCH($F$10,F10)))</xm:f>
            <xm:f>$F$10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Productivity_Risk_Analysis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Tanushri Kale</dc:creator>
  <cp:lastModifiedBy>Tanushri Kale</cp:lastModifiedBy>
  <dcterms:created xsi:type="dcterms:W3CDTF">2025-11-20T05:44:37Z</dcterms:created>
  <dcterms:modified xsi:type="dcterms:W3CDTF">2025-11-20T15:16:25Z</dcterms:modified>
</cp:coreProperties>
</file>