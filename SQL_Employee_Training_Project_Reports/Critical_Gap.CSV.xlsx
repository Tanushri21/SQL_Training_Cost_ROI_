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_Analyst_Projects\GitHub_Doc\"/>
    </mc:Choice>
  </mc:AlternateContent>
  <xr:revisionPtr revIDLastSave="0" documentId="13_ncr:1_{12B640A4-82FB-48BD-B93D-D2457C531BB4}" xr6:coauthVersionLast="47" xr6:coauthVersionMax="47" xr10:uidLastSave="{00000000-0000-0000-0000-000000000000}"/>
  <bookViews>
    <workbookView xWindow="-96" yWindow="0" windowWidth="11712" windowHeight="13056" activeTab="1" xr2:uid="{10E71F39-485C-43F2-854D-A20E47A8E106}"/>
  </bookViews>
  <sheets>
    <sheet name="Raw Data" sheetId="1" r:id="rId1"/>
    <sheet name="Critical-Gap-Analysis" sheetId="4" r:id="rId2"/>
  </sheets>
  <externalReferences>
    <externalReference r:id="rId3"/>
  </externalReferenc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2" i="1"/>
  <c r="E3" i="1"/>
  <c r="E4" i="1"/>
  <c r="E5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<sst xmlns="http://schemas.openxmlformats.org/spreadsheetml/2006/main" count="32" uniqueCount="32">
  <si>
    <t>Emp_id</t>
  </si>
  <si>
    <t>Skill_id</t>
  </si>
  <si>
    <t>Required_proficiency</t>
  </si>
  <si>
    <t>Current_proficiency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</si>
  <si>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</si>
  <si>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</si>
  <si>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</si>
  <si>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</si>
  <si>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</si>
  <si>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</si>
  <si>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</si>
  <si>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</si>
  <si>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</si>
  <si>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</si>
  <si>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</si>
  <si>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Gap Score</t>
  </si>
  <si>
    <t>Skill Name</t>
  </si>
  <si>
    <t>AI Ethics</t>
  </si>
  <si>
    <t>Communication</t>
  </si>
  <si>
    <t>Cyber security</t>
  </si>
  <si>
    <t>Developer</t>
  </si>
  <si>
    <t>Indian Cuisine</t>
  </si>
  <si>
    <t>IT Troubleshooting</t>
  </si>
  <si>
    <t>Management</t>
  </si>
  <si>
    <t>Media Marketing</t>
  </si>
  <si>
    <t>Ms excel</t>
  </si>
  <si>
    <t>Python Programming</t>
  </si>
  <si>
    <t>Story Telling</t>
  </si>
  <si>
    <t>Grand Total</t>
  </si>
  <si>
    <t>Most Critical Skill</t>
  </si>
  <si>
    <t xml:space="preserve"> Gap Score</t>
  </si>
  <si>
    <r>
      <rPr>
        <b/>
        <sz val="11"/>
        <color theme="1"/>
        <rFont val="Calibri"/>
        <family val="2"/>
        <scheme val="minor"/>
      </rPr>
      <t>Problem Statement :</t>
    </r>
    <r>
      <rPr>
        <sz val="11"/>
        <color theme="1"/>
        <rFont val="Calibri"/>
        <family val="2"/>
        <scheme val="minor"/>
      </rPr>
      <t xml:space="preserve">  Identify the single most critical skill gap causing the highest operational and revenue impact?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</si>
</sst>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2" tint="-0.89999084444715716"/>
      <name val="Segoe UI"/>
      <family val="2"/>
    </font>
    <font>
      <sz val="11"/>
      <color theme="2" tint="-0.89999084444715716"/>
      <name val="Segoe U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3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[Critical_Gap.CSV.xlsx]Critical-Gap-Analysis!PivotTable23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'Critical-Gap-Analysis'!$B$3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CD9-4C8F-B0DD-CFC5079E43C9}"/>
              </c:ext>
            </c:extLst>
          </c:dPt>
          <c:cat>
            <c:strRef>
              <c:f>'Critical-Gap-Analysis'!$A$4:$A$15</c:f>
              <c:strCache>
                <c:ptCount val="11"/>
                <c:pt idx="0">
                  <c:v>IT Troubleshooting</c:v>
                </c:pt>
                <c:pt idx="1">
                  <c:v>Indian Cuisine</c:v>
                </c:pt>
                <c:pt idx="2">
                  <c:v>Management</c:v>
                </c:pt>
                <c:pt idx="3">
                  <c:v>Media Marketing</c:v>
                </c:pt>
                <c:pt idx="4">
                  <c:v>Cyber security</c:v>
                </c:pt>
                <c:pt idx="5">
                  <c:v>Story Telling</c:v>
                </c:pt>
                <c:pt idx="6">
                  <c:v>Developer</c:v>
                </c:pt>
                <c:pt idx="7">
                  <c:v>AI Ethics</c:v>
                </c:pt>
                <c:pt idx="8">
                  <c:v>Ms excel</c:v>
                </c:pt>
                <c:pt idx="9">
                  <c:v>Communication</c:v>
                </c:pt>
                <c:pt idx="10">
                  <c:v>Python Programming</c:v>
                </c:pt>
              </c:strCache>
            </c:strRef>
          </c:cat>
          <c:val>
            <c:numRef>
              <c:f>'Critical-Gap-Analysis'!$B$4:$B$15</c:f>
              <c:numCache>
                <c:formatCode>General</c:formatCode>
                <c:ptCount val="11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9-4C8F-B0DD-CFC5079E4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8225311"/>
        <c:axId val="658220511"/>
      </c:barChart>
      <c:catAx>
        <c:axId val="65822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220511"/>
        <c:crosses val="autoZero"/>
        <c:auto val="1"/>
        <c:lblAlgn val="ctr"/>
        <c:lblOffset val="100"/>
        <c:noMultiLvlLbl val="0"/>
      </c:catAx>
      <c:valAx>
        <c:axId val="65822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22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</xdr:row>
      <xdr:rowOff>175260</xdr:rowOff>
    </xdr:from>
    <xdr:to>
      <xdr:col>9</xdr:col>
      <xdr:colOff>601980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ADEEFB-0E12-29A2-0ABB-FA95F33EE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_Analyst_Projects\GitHub_Doc\SQL_Training-Cost-ROI-Raw%20Data_.csv.xlsx" TargetMode="External"/><Relationship Id="rId1" Type="http://schemas.openxmlformats.org/officeDocument/2006/relationships/externalLinkPath" Target="SQL_Training-Cost-ROI-Raw%20Data_.cs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s"/>
      <sheetName val="Skills"/>
      <sheetName val="Emp_skills"/>
      <sheetName val="Training"/>
    </sheetNames>
    <sheetDataSet>
      <sheetData sheetId="0"/>
      <sheetData sheetId="1">
        <row r="2">
          <cell r="A2" t="str">
            <v>S01</v>
          </cell>
          <cell r="B2" t="str">
            <v>Communication</v>
          </cell>
        </row>
        <row r="3">
          <cell r="A3" t="str">
            <v>S02</v>
          </cell>
          <cell r="B3" t="str">
            <v>Python Programming</v>
          </cell>
        </row>
        <row r="4">
          <cell r="A4" t="str">
            <v>S03</v>
          </cell>
          <cell r="B4" t="str">
            <v>Media Marketing</v>
          </cell>
        </row>
        <row r="5">
          <cell r="A5" t="str">
            <v>S04</v>
          </cell>
          <cell r="B5" t="str">
            <v>Cyber security</v>
          </cell>
        </row>
        <row r="6">
          <cell r="A6" t="str">
            <v>S05</v>
          </cell>
          <cell r="B6" t="str">
            <v>Management</v>
          </cell>
        </row>
        <row r="7">
          <cell r="A7" t="str">
            <v>S06</v>
          </cell>
          <cell r="B7" t="str">
            <v>IT Troubleshooting</v>
          </cell>
        </row>
        <row r="8">
          <cell r="A8" t="str">
            <v>S07</v>
          </cell>
          <cell r="B8" t="str">
            <v>Indian Cuisine</v>
          </cell>
        </row>
        <row r="9">
          <cell r="A9" t="str">
            <v>S08</v>
          </cell>
          <cell r="B9" t="str">
            <v>Story Telling</v>
          </cell>
        </row>
        <row r="10">
          <cell r="A10" t="str">
            <v>S09</v>
          </cell>
          <cell r="B10" t="str">
            <v>Ms excel</v>
          </cell>
        </row>
        <row r="11">
          <cell r="A11" t="str">
            <v>S10</v>
          </cell>
          <cell r="B11" t="str">
            <v>Developer</v>
          </cell>
        </row>
        <row r="12">
          <cell r="A12" t="str">
            <v>S11</v>
          </cell>
          <cell r="B12" t="str">
            <v>AI Ethics</v>
          </cell>
        </row>
      </sheetData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SHRI" refreshedDate="45980.967120138892" createdVersion="8" refreshedVersion="8" minRefreshableVersion="3" recordCount="11" xr:uid="{5D4DFB70-5532-4A99-8D03-6609D62B85EC}">
  <cacheSource type="worksheet">
    <worksheetSource ref="A1:F12" sheet="Raw Data"/>
  </cacheSource>
  <cacheFields count="6">
    <cacheField name="Emp_id" numFmtId="0">
      <sharedItems containsSemiMixedTypes="0" containsString="0" containsNumber="1" containsInteger="1" minValue="1" maxValue="11" count="11">
        <n v="1"/>
        <n v="2"/>
        <n v="3"/>
        <n v="4"/>
        <n v="5"/>
        <n v="6"/>
        <n v="7"/>
        <n v="8"/>
        <n v="9"/>
        <n v="10"/>
        <n v="11"/>
      </sharedItems>
    </cacheField>
    <cacheField name="Skill_id" numFmtId="0">
      <sharedItems count="11">
        <s v="S01"/>
        <s v="S02"/>
        <s v="S03"/>
        <s v="S04"/>
        <s v="S05"/>
        <s v="S06"/>
        <s v="S07"/>
        <s v="S08"/>
        <s v="S09"/>
        <s v="S10"/>
        <s v="S11"/>
      </sharedItems>
    </cacheField>
    <cacheField name="Required_proficiency" numFmtId="0">
      <sharedItems containsSemiMixedTypes="0" containsString="0" containsNumber="1" containsInteger="1" minValue="5" maxValue="5"/>
    </cacheField>
    <cacheField name="Current_proficiency" numFmtId="0">
      <sharedItems containsSemiMixedTypes="0" containsString="0" containsNumber="1" containsInteger="1" minValue="1" maxValue="4"/>
    </cacheField>
    <cacheField name="Gap Score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Skill Name" numFmtId="0">
      <sharedItems count="11">
        <s v="Communication"/>
        <s v="Python Programming"/>
        <s v="Media Marketing"/>
        <s v="Cyber security"/>
        <s v="Management"/>
        <s v="IT Troubleshooting"/>
        <s v="Indian Cuisine"/>
        <s v="Story Telling"/>
        <s v="Ms excel"/>
        <s v="Developer"/>
        <s v="AI Eth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n v="5"/>
    <n v="4"/>
    <x v="0"/>
    <x v="0"/>
  </r>
  <r>
    <x v="1"/>
    <x v="1"/>
    <n v="5"/>
    <n v="4"/>
    <x v="0"/>
    <x v="1"/>
  </r>
  <r>
    <x v="2"/>
    <x v="2"/>
    <n v="5"/>
    <n v="3"/>
    <x v="1"/>
    <x v="2"/>
  </r>
  <r>
    <x v="3"/>
    <x v="3"/>
    <n v="5"/>
    <n v="3"/>
    <x v="1"/>
    <x v="3"/>
  </r>
  <r>
    <x v="4"/>
    <x v="4"/>
    <n v="5"/>
    <n v="2"/>
    <x v="2"/>
    <x v="4"/>
  </r>
  <r>
    <x v="5"/>
    <x v="5"/>
    <n v="5"/>
    <n v="1"/>
    <x v="3"/>
    <x v="5"/>
  </r>
  <r>
    <x v="6"/>
    <x v="6"/>
    <n v="5"/>
    <n v="2"/>
    <x v="2"/>
    <x v="6"/>
  </r>
  <r>
    <x v="7"/>
    <x v="7"/>
    <n v="5"/>
    <n v="3"/>
    <x v="1"/>
    <x v="7"/>
  </r>
  <r>
    <x v="8"/>
    <x v="8"/>
    <n v="5"/>
    <n v="4"/>
    <x v="0"/>
    <x v="8"/>
  </r>
  <r>
    <x v="9"/>
    <x v="9"/>
    <n v="5"/>
    <n v="3"/>
    <x v="1"/>
    <x v="9"/>
  </r>
  <r>
    <x v="10"/>
    <x v="10"/>
    <n v="5"/>
    <n v="3"/>
    <x v="1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D266E-651E-478D-8326-CFF52AB55561}" name="PivotTable2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Most Critical Skill">
  <location ref="A3:B15" firstHeaderRow="1" firstDataRow="1" firstDataCol="1"/>
  <pivotFields count="6"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dataField="1" showAll="0"/>
    <pivotField axis="axisRow" showAll="0" sortType="descending">
      <items count="12">
        <item x="10"/>
        <item x="0"/>
        <item x="3"/>
        <item x="9"/>
        <item x="6"/>
        <item x="5"/>
        <item x="4"/>
        <item x="2"/>
        <item x="8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12">
    <i>
      <x v="5"/>
    </i>
    <i>
      <x v="4"/>
    </i>
    <i>
      <x v="6"/>
    </i>
    <i>
      <x v="7"/>
    </i>
    <i>
      <x v="2"/>
    </i>
    <i>
      <x v="10"/>
    </i>
    <i>
      <x v="3"/>
    </i>
    <i>
      <x/>
    </i>
    <i>
      <x v="8"/>
    </i>
    <i>
      <x v="1"/>
    </i>
    <i>
      <x v="9"/>
    </i>
    <i t="grand">
      <x/>
    </i>
  </rowItems>
  <colItems count="1">
    <i/>
  </colItems>
  <dataFields count="1">
    <dataField name=" Gap Score" fld="4" baseField="0" baseItem="0"/>
  </dataFields>
  <formats count="19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5" type="button" dataOnly="0" labelOnly="1" outline="0" axis="axisRow" fieldPosition="0"/>
    </format>
    <format dxfId="34">
      <pivotArea dataOnly="0" labelOnly="1" fieldPosition="0">
        <references count="1">
          <reference field="5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collapsedLevelsAreSubtotals="1" fieldPosition="0">
        <references count="1">
          <reference field="5" count="1">
            <x v="5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5" type="button" dataOnly="0" labelOnly="1" outline="0" axis="axisRow" fieldPosition="0"/>
    </format>
    <format dxfId="10">
      <pivotArea dataOnly="0" labelOnly="1" fieldPosition="0">
        <references count="1">
          <reference field="5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5" type="button" dataOnly="0" labelOnly="1" outline="0" axis="axisRow" fieldPosition="0"/>
    </format>
    <format dxfId="3">
      <pivotArea dataOnly="0" labelOnly="1" fieldPosition="0">
        <references count="1">
          <reference field="5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2D56-CCD7-4A39-AFE1-3F192A5E8840}">
  <dimension ref="A1:F12"/>
  <sheetViews>
    <sheetView workbookViewId="0">
      <selection activeCell="J10" sqref="J10"/>
    </sheetView>
  </sheetViews>
  <sheetFormatPr defaultRowHeight="14.4" x14ac:dyDescent="0.3"/>
  <cols>
    <col min="1" max="1" width="7.6640625" bestFit="1" customWidth="1"/>
    <col min="2" max="2" width="7.44140625" bestFit="1" customWidth="1"/>
    <col min="3" max="3" width="21.109375" bestFit="1" customWidth="1"/>
    <col min="4" max="4" width="19.6640625" bestFit="1" customWidth="1"/>
    <col min="5" max="5" width="10.5546875" bestFit="1" customWidth="1"/>
    <col min="6" max="6" width="18.109375" bestFit="1" customWidth="1"/>
  </cols>
  <sheetData>
    <row r="1" spans="1:6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</row>
    <row r="2" spans="1:6" ht="16.8" x14ac:dyDescent="0.3">
      <c r="A2" s="2">
        <v>1</v>
      </c>
      <c r="B2" s="2" t="s">
        <v>4</v>
      </c>
      <c r="C2" s="2">
        <v>5</v>
      </c>
      <c r="D2" s="2">
        <v>4</v>
      </c>
      <c r="E2" s="3">
        <f>C2-D2</f>
        <v>1</v>
      </c>
      <c r="F2" s="3" t="str">
        <f>_xlfn.XLOOKUP(B2,[1]Skills!$A$2:$A$12,[1]Skills!$B$2:$B$12)</f>
        <v>Communication</v>
      </c>
    </row>
    <row r="3" spans="1:6" ht="16.8" x14ac:dyDescent="0.3">
      <c r="A3" s="2">
        <v>2</v>
      </c>
      <c r="B3" s="2" t="s">
        <v>5</v>
      </c>
      <c r="C3" s="2">
        <v>5</v>
      </c>
      <c r="D3" s="2">
        <v>4</v>
      </c>
      <c r="E3" s="3">
        <f t="shared" ref="E3:E12" si="0">C3-D3</f>
        <v>1</v>
      </c>
      <c r="F3" s="3" t="str">
        <f>_xlfn.XLOOKUP(B3,[1]Skills!$A$2:$A$12,[1]Skills!$B$2:$B$12)</f>
        <v>Python Programming</v>
      </c>
    </row>
    <row r="4" spans="1:6" ht="16.8" x14ac:dyDescent="0.3">
      <c r="A4" s="2">
        <v>3</v>
      </c>
      <c r="B4" s="2" t="s">
        <v>6</v>
      </c>
      <c r="C4" s="2">
        <v>5</v>
      </c>
      <c r="D4" s="2">
        <v>3</v>
      </c>
      <c r="E4" s="3">
        <f t="shared" si="0"/>
        <v>2</v>
      </c>
      <c r="F4" s="3" t="str">
        <f>_xlfn.XLOOKUP(B4,[1]Skills!$A$2:$A$12,[1]Skills!$B$2:$B$12)</f>
        <v>Media Marketing</v>
      </c>
    </row>
    <row r="5" spans="1:6" ht="16.8" x14ac:dyDescent="0.3">
      <c r="A5" s="2">
        <v>4</v>
      </c>
      <c r="B5" s="2" t="s">
        <v>7</v>
      </c>
      <c r="C5" s="2">
        <v>5</v>
      </c>
      <c r="D5" s="2">
        <v>3</v>
      </c>
      <c r="E5" s="3">
        <f t="shared" si="0"/>
        <v>2</v>
      </c>
      <c r="F5" s="3" t="str">
        <f>_xlfn.XLOOKUP(B5,[1]Skills!$A$2:$A$12,[1]Skills!$B$2:$B$12)</f>
        <v>Cyber security</v>
      </c>
    </row>
    <row r="6" spans="1:6" ht="16.8" x14ac:dyDescent="0.3">
      <c r="A6" s="2">
        <v>5</v>
      </c>
      <c r="B6" s="2" t="s">
        <v>8</v>
      </c>
      <c r="C6" s="2">
        <v>5</v>
      </c>
      <c r="D6" s="2">
        <v>2</v>
      </c>
      <c r="E6" s="3">
        <f t="shared" si="0"/>
        <v>3</v>
      </c>
      <c r="F6" s="3" t="str">
        <f>_xlfn.XLOOKUP(B6,[1]Skills!$A$2:$A$12,[1]Skills!$B$2:$B$12)</f>
        <v>Management</v>
      </c>
    </row>
    <row r="7" spans="1:6" ht="16.8" x14ac:dyDescent="0.3">
      <c r="A7" s="2">
        <v>6</v>
      </c>
      <c r="B7" s="2" t="s">
        <v>9</v>
      </c>
      <c r="C7" s="2">
        <v>5</v>
      </c>
      <c r="D7" s="2">
        <v>1</v>
      </c>
      <c r="E7" s="3">
        <f t="shared" si="0"/>
        <v>4</v>
      </c>
      <c r="F7" s="3" t="str">
        <f>_xlfn.XLOOKUP(B7,[1]Skills!$A$2:$A$12,[1]Skills!$B$2:$B$12)</f>
        <v>IT Troubleshooting</v>
      </c>
    </row>
    <row r="8" spans="1:6" ht="16.8" x14ac:dyDescent="0.3">
      <c r="A8" s="2">
        <v>7</v>
      </c>
      <c r="B8" s="2" t="s">
        <v>10</v>
      </c>
      <c r="C8" s="2">
        <v>5</v>
      </c>
      <c r="D8" s="2">
        <v>2</v>
      </c>
      <c r="E8" s="3">
        <f t="shared" si="0"/>
        <v>3</v>
      </c>
      <c r="F8" s="3" t="str">
        <f>_xlfn.XLOOKUP(B8,[1]Skills!$A$2:$A$12,[1]Skills!$B$2:$B$12)</f>
        <v>Indian Cuisine</v>
      </c>
    </row>
    <row r="9" spans="1:6" ht="16.8" x14ac:dyDescent="0.3">
      <c r="A9" s="2">
        <v>8</v>
      </c>
      <c r="B9" s="2" t="s">
        <v>11</v>
      </c>
      <c r="C9" s="2">
        <v>5</v>
      </c>
      <c r="D9" s="2">
        <v>3</v>
      </c>
      <c r="E9" s="3">
        <f t="shared" si="0"/>
        <v>2</v>
      </c>
      <c r="F9" s="3" t="str">
        <f>_xlfn.XLOOKUP(B9,[1]Skills!$A$2:$A$12,[1]Skills!$B$2:$B$12)</f>
        <v>Story Telling</v>
      </c>
    </row>
    <row r="10" spans="1:6" ht="16.8" x14ac:dyDescent="0.3">
      <c r="A10" s="2">
        <v>9</v>
      </c>
      <c r="B10" s="2" t="s">
        <v>12</v>
      </c>
      <c r="C10" s="2">
        <v>5</v>
      </c>
      <c r="D10" s="2">
        <v>4</v>
      </c>
      <c r="E10" s="3">
        <f t="shared" si="0"/>
        <v>1</v>
      </c>
      <c r="F10" s="3" t="str">
        <f>_xlfn.XLOOKUP(B10,[1]Skills!$A$2:$A$12,[1]Skills!$B$2:$B$12)</f>
        <v>Ms excel</v>
      </c>
    </row>
    <row r="11" spans="1:6" ht="16.8" x14ac:dyDescent="0.3">
      <c r="A11" s="2">
        <v>10</v>
      </c>
      <c r="B11" s="2" t="s">
        <v>13</v>
      </c>
      <c r="C11" s="2">
        <v>5</v>
      </c>
      <c r="D11" s="2">
        <v>3</v>
      </c>
      <c r="E11" s="3">
        <f t="shared" si="0"/>
        <v>2</v>
      </c>
      <c r="F11" s="3" t="str">
        <f>_xlfn.XLOOKUP(B11,[1]Skills!$A$2:$A$12,[1]Skills!$B$2:$B$12)</f>
        <v>Developer</v>
      </c>
    </row>
    <row r="12" spans="1:6" ht="16.8" x14ac:dyDescent="0.3">
      <c r="A12" s="2">
        <v>11</v>
      </c>
      <c r="B12" s="2" t="s">
        <v>14</v>
      </c>
      <c r="C12" s="2">
        <v>5</v>
      </c>
      <c r="D12" s="2">
        <v>3</v>
      </c>
      <c r="E12" s="3">
        <f t="shared" si="0"/>
        <v>2</v>
      </c>
      <c r="F12" s="3" t="str">
        <f>_xlfn.XLOOKUP(B12,[1]Skills!$A$2:$A$12,[1]Skills!$B$2:$B$12)</f>
        <v>AI Ethics</v>
      </c>
    </row>
  </sheetData>
  <conditionalFormatting sqref="E2:E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EE3D-1476-4630-B88B-45509063018D}">
  <dimension ref="A1:J15"/>
  <sheetViews>
    <sheetView tabSelected="1" workbookViewId="0">
      <selection activeCell="E20" sqref="E20"/>
    </sheetView>
  </sheetViews>
  <sheetFormatPr defaultRowHeight="14.4" x14ac:dyDescent="0.3"/>
  <cols>
    <col min="1" max="1" width="18.109375" bestFit="1" customWidth="1"/>
    <col min="2" max="2" width="16" bestFit="1" customWidth="1"/>
  </cols>
  <sheetData>
    <row r="1" spans="1:10" x14ac:dyDescent="0.3">
      <c r="A1" s="8" t="s">
        <v>31</v>
      </c>
      <c r="B1" s="8"/>
      <c r="C1" s="8"/>
      <c r="D1" s="8"/>
      <c r="E1" s="8"/>
      <c r="F1" s="8"/>
      <c r="G1" s="8"/>
      <c r="H1" s="8"/>
      <c r="I1" s="8"/>
      <c r="J1" s="8"/>
    </row>
    <row r="3" spans="1:10" x14ac:dyDescent="0.3">
      <c r="A3" s="4" t="s">
        <v>29</v>
      </c>
      <c r="B3" s="5" t="s">
        <v>30</v>
      </c>
    </row>
    <row r="4" spans="1:10" x14ac:dyDescent="0.3">
      <c r="A4" s="5" t="s">
        <v>22</v>
      </c>
      <c r="B4" s="6">
        <v>4</v>
      </c>
    </row>
    <row r="5" spans="1:10" x14ac:dyDescent="0.3">
      <c r="A5" s="5" t="s">
        <v>21</v>
      </c>
      <c r="B5" s="7">
        <v>3</v>
      </c>
    </row>
    <row r="6" spans="1:10" x14ac:dyDescent="0.3">
      <c r="A6" s="5" t="s">
        <v>23</v>
      </c>
      <c r="B6" s="7">
        <v>3</v>
      </c>
    </row>
    <row r="7" spans="1:10" x14ac:dyDescent="0.3">
      <c r="A7" s="5" t="s">
        <v>24</v>
      </c>
      <c r="B7" s="7">
        <v>2</v>
      </c>
    </row>
    <row r="8" spans="1:10" x14ac:dyDescent="0.3">
      <c r="A8" s="5" t="s">
        <v>19</v>
      </c>
      <c r="B8" s="7">
        <v>2</v>
      </c>
    </row>
    <row r="9" spans="1:10" x14ac:dyDescent="0.3">
      <c r="A9" s="5" t="s">
        <v>27</v>
      </c>
      <c r="B9" s="7">
        <v>2</v>
      </c>
    </row>
    <row r="10" spans="1:10" x14ac:dyDescent="0.3">
      <c r="A10" s="5" t="s">
        <v>20</v>
      </c>
      <c r="B10" s="7">
        <v>2</v>
      </c>
    </row>
    <row r="11" spans="1:10" x14ac:dyDescent="0.3">
      <c r="A11" s="5" t="s">
        <v>17</v>
      </c>
      <c r="B11" s="7">
        <v>2</v>
      </c>
    </row>
    <row r="12" spans="1:10" x14ac:dyDescent="0.3">
      <c r="A12" s="5" t="s">
        <v>25</v>
      </c>
      <c r="B12" s="7">
        <v>1</v>
      </c>
    </row>
    <row r="13" spans="1:10" x14ac:dyDescent="0.3">
      <c r="A13" s="5" t="s">
        <v>18</v>
      </c>
      <c r="B13" s="7">
        <v>1</v>
      </c>
    </row>
    <row r="14" spans="1:10" x14ac:dyDescent="0.3">
      <c r="A14" s="5" t="s">
        <v>26</v>
      </c>
      <c r="B14" s="7">
        <v>1</v>
      </c>
    </row>
    <row r="15" spans="1:10" x14ac:dyDescent="0.3">
      <c r="A15" s="5" t="s">
        <v>28</v>
      </c>
      <c r="B15" s="7">
        <v>23</v>
      </c>
    </row>
  </sheetData>
  <mergeCells count="1">
    <mergeCell ref="A1:J1"/>
  </mergeCells>
  <conditionalFormatting sqref="A9">
    <cfRule type="containsText" dxfId="23" priority="2" operator="containsText" text="IT Troubleshooting">
      <formula>NOT(ISERROR(SEARCH("IT Troubleshooting",A9)))</formula>
    </cfRule>
  </conditionalFormatting>
  <conditionalFormatting sqref="A4:A14">
    <cfRule type="containsText" dxfId="21" priority="1" operator="containsText" text="IT Troubleshooting">
      <formula>NOT(ISERROR(SEARCH("IT Troubleshooting",A4)))</formula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Critical-Gap-Analysis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Tanushri Kale</dc:creator>
  <cp:lastModifiedBy>Tanushri Kale</cp:lastModifiedBy>
  <dcterms:created xsi:type="dcterms:W3CDTF">2025-11-19T17:13:35Z</dcterms:created>
  <dcterms:modified xsi:type="dcterms:W3CDTF">2025-11-20T14:49:58Z</dcterms:modified>
</cp:coreProperties>
</file>