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_Analyst_Projects\GitHub_Doc\"/>
    </mc:Choice>
  </mc:AlternateContent>
  <xr:revisionPtr revIDLastSave="0" documentId="13_ncr:1_{0667C148-CF2E-415D-89D2-BD45850E71AC}" xr6:coauthVersionLast="47" xr6:coauthVersionMax="47" xr10:uidLastSave="{00000000-0000-0000-0000-000000000000}"/>
  <bookViews>
    <workbookView xWindow="11424" yWindow="0" windowWidth="11712" windowHeight="13056" xr2:uid="{9A235FD3-DCC7-474B-9D96-7C4995D6286C}"/>
  </bookViews>
  <sheets>
    <sheet name="Top 3-Skill-Gap Analysis" sheetId="8" r:id="rId1"/>
    <sheet name="Raw Data" sheetId="1" r:id="rId2"/>
  </sheets>
  <externalReferences>
    <externalReference r:id="rId3"/>
  </externalReferenc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9" i="1"/>
  <c r="F3" i="1"/>
  <c r="F4" i="1"/>
  <c r="F5" i="1"/>
  <c r="F6" i="1"/>
  <c r="F7" i="1"/>
  <c r="F8" i="1"/>
  <c r="F9" i="1"/>
  <c r="F10" i="1"/>
  <c r="F11" i="1"/>
  <c r="F12" i="1"/>
  <c r="F2" i="1"/>
  <c r="E3" i="1"/>
  <c r="E4" i="1"/>
  <c r="E5" i="1"/>
  <c r="E6" i="1"/>
  <c r="E7" i="1"/>
  <c r="E8" i="1"/>
  <c r="E9" i="1"/>
  <c r="E10" i="1"/>
  <c r="E11" i="1"/>
  <c r="E12" i="1"/>
  <c r="E2" i="1"/>
  <c r="D3" i="1"/>
  <c r="D5" i="1"/>
  <c r="D6" i="1"/>
  <c r="D7" i="1"/>
  <c r="D8" i="1"/>
  <c r="D10" i="1"/>
  <c r="D11" i="1"/>
  <c r="D12" i="1"/>
  <c r="D2" i="1"/>
  <c r="A2" i="1" a="1"/>
  <c r="A2" i="1" s="1"/>
  <c r="C3" i="1"/>
  <c r="C4" i="1"/>
  <c r="C5" i="1"/>
  <c r="C6" i="1"/>
  <c r="C7" i="1"/>
  <c r="C8" i="1"/>
  <c r="C9" i="1"/>
  <c r="C10" i="1"/>
  <c r="C11" i="1"/>
  <c r="C12" i="1"/>
  <c r="C2" i="1"/>
  <c r="G4" i="1" l="1"/>
  <c r="G11" i="1"/>
  <c r="G10" i="1"/>
  <c r="G9" i="1"/>
  <c r="G2" i="1"/>
  <c r="G7" i="1"/>
  <c r="G3" i="1"/>
  <c r="G12" i="1"/>
  <c r="G8" i="1"/>
  <c r="G6" i="1"/>
  <c r="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<sst xmlns="http://schemas.openxmlformats.org/spreadsheetml/2006/main" count="32" uniqueCount="32">
  <si>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Depart</t>
  </si>
  <si>
    <t>Skill name</t>
  </si>
  <si>
    <t>Required Proficiency</t>
  </si>
  <si>
    <t>Current Proficency</t>
  </si>
  <si>
    <t>Depart Gap Score</t>
  </si>
  <si>
    <t xml:space="preserve">skill id </t>
  </si>
  <si>
    <t>S11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</si>
  <si>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</si>
  <si>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</si>
  <si>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</si>
  <si>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</si>
  <si>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</si>
  <si>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</si>
  <si>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</si>
  <si>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</si>
  <si>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</si>
  <si>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</si>
  <si>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Emp_id</t>
  </si>
  <si>
    <t>Admin</t>
  </si>
  <si>
    <t>Artifical Intelligence</t>
  </si>
  <si>
    <t>Cyber</t>
  </si>
  <si>
    <t>Finance</t>
  </si>
  <si>
    <t>Food</t>
  </si>
  <si>
    <t>IT</t>
  </si>
  <si>
    <t>Marketing</t>
  </si>
  <si>
    <t>Product Development</t>
  </si>
  <si>
    <t>Sales</t>
  </si>
  <si>
    <t>Support</t>
  </si>
  <si>
    <t>Grand Total</t>
  </si>
  <si>
    <t>Sum of Depart Gap Score</t>
  </si>
  <si>
    <t>Row Labels</t>
  </si>
  <si>
    <t>Ecommerece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</si>
</sst>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8999908444471571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C4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[High-Skill_Gap_by Depart.xlsx]Top 3-Skill-Gap Analysis!PivotTable1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'Top 3-Skill-Gap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9BCA-4712-9640-2D8A05D78D1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BCA-4712-9640-2D8A05D78D10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9BCA-4712-9640-2D8A05D78D10}"/>
              </c:ext>
            </c:extLst>
          </c:dPt>
          <c:cat>
            <c:strRef>
              <c:f>'Top 3-Skill-Gap Analysis'!$A$4:$A$15</c:f>
              <c:strCache>
                <c:ptCount val="11"/>
                <c:pt idx="0">
                  <c:v>Support</c:v>
                </c:pt>
                <c:pt idx="1">
                  <c:v>Admin</c:v>
                </c:pt>
                <c:pt idx="2">
                  <c:v>Food</c:v>
                </c:pt>
                <c:pt idx="3">
                  <c:v>Ecommerece</c:v>
                </c:pt>
                <c:pt idx="4">
                  <c:v>Product Development</c:v>
                </c:pt>
                <c:pt idx="5">
                  <c:v>Cyber</c:v>
                </c:pt>
                <c:pt idx="6">
                  <c:v>Artifical Intelligence</c:v>
                </c:pt>
                <c:pt idx="7">
                  <c:v>Sales</c:v>
                </c:pt>
                <c:pt idx="8">
                  <c:v>IT</c:v>
                </c:pt>
                <c:pt idx="9">
                  <c:v>Marketing</c:v>
                </c:pt>
                <c:pt idx="10">
                  <c:v>Finance</c:v>
                </c:pt>
              </c:strCache>
            </c:strRef>
          </c:cat>
          <c:val>
            <c:numRef>
              <c:f>'Top 3-Skill-Gap Analysis'!$B$4:$B$15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A-4712-9640-2D8A05D78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7412064"/>
        <c:axId val="587413984"/>
        <c:axId val="726937392"/>
      </c:bar3DChart>
      <c:catAx>
        <c:axId val="5874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13984"/>
        <c:crosses val="autoZero"/>
        <c:auto val="1"/>
        <c:lblAlgn val="ctr"/>
        <c:lblOffset val="100"/>
        <c:noMultiLvlLbl val="0"/>
      </c:catAx>
      <c:valAx>
        <c:axId val="5874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12064"/>
        <c:crosses val="autoZero"/>
        <c:crossBetween val="between"/>
      </c:valAx>
      <c:serAx>
        <c:axId val="726937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139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1524000</xdr:colOff>
      <xdr:row>1</xdr:row>
      <xdr:rowOff>175260</xdr:rowOff>
    </xdr:from>
    <xdr:to>
      <xdr:col>6</xdr:col>
      <xdr:colOff>876300</xdr:colOff>
      <xdr:row>14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CD069F-F3D0-4A76-B841-AF57B249A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_Analyst_Projects\GitHub_Doc\SQL_Training-Cost-ROI-Raw%20Data_.csv.xlsx" TargetMode="External"/><Relationship Id="rId1" Type="http://schemas.openxmlformats.org/officeDocument/2006/relationships/externalLinkPath" Target="SQL_Training-Cost-ROI-Raw%20Data_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s"/>
      <sheetName val="Skills"/>
      <sheetName val="Emp_skills"/>
      <sheetName val="Training"/>
    </sheetNames>
    <sheetDataSet>
      <sheetData sheetId="0">
        <row r="2">
          <cell r="A2">
            <v>1</v>
          </cell>
          <cell r="D2" t="str">
            <v>Marketing</v>
          </cell>
        </row>
        <row r="3">
          <cell r="A3">
            <v>2</v>
          </cell>
          <cell r="D3" t="str">
            <v>IT</v>
          </cell>
        </row>
        <row r="4">
          <cell r="A4">
            <v>3</v>
          </cell>
          <cell r="D4" t="str">
            <v>Ecommerece</v>
          </cell>
        </row>
        <row r="5">
          <cell r="A5">
            <v>4</v>
          </cell>
          <cell r="D5" t="str">
            <v>Cyber</v>
          </cell>
        </row>
        <row r="6">
          <cell r="A6">
            <v>5</v>
          </cell>
          <cell r="D6" t="str">
            <v>Admin</v>
          </cell>
        </row>
        <row r="7">
          <cell r="A7">
            <v>6</v>
          </cell>
          <cell r="D7" t="str">
            <v>Support</v>
          </cell>
        </row>
        <row r="8">
          <cell r="A8">
            <v>7</v>
          </cell>
          <cell r="D8" t="str">
            <v>Food</v>
          </cell>
        </row>
        <row r="9">
          <cell r="A9">
            <v>8</v>
          </cell>
          <cell r="D9" t="str">
            <v>Sales</v>
          </cell>
        </row>
        <row r="10">
          <cell r="A10">
            <v>9</v>
          </cell>
          <cell r="D10" t="str">
            <v>Finance</v>
          </cell>
        </row>
        <row r="11">
          <cell r="A11">
            <v>10</v>
          </cell>
          <cell r="D11" t="str">
            <v>Product Development</v>
          </cell>
        </row>
        <row r="12">
          <cell r="A12">
            <v>11</v>
          </cell>
          <cell r="D12" t="str">
            <v>Artifical Intelligence</v>
          </cell>
        </row>
      </sheetData>
      <sheetData sheetId="1">
        <row r="2">
          <cell r="A2" t="str">
            <v>S01</v>
          </cell>
          <cell r="B2" t="str">
            <v>Communication</v>
          </cell>
        </row>
        <row r="3">
          <cell r="A3" t="str">
            <v>S02</v>
          </cell>
          <cell r="B3" t="str">
            <v>Python Programming</v>
          </cell>
        </row>
        <row r="4">
          <cell r="A4" t="str">
            <v>S03</v>
          </cell>
          <cell r="B4" t="str">
            <v>Media Marketing</v>
          </cell>
        </row>
        <row r="5">
          <cell r="A5" t="str">
            <v>S04</v>
          </cell>
          <cell r="B5" t="str">
            <v>Cyber security</v>
          </cell>
        </row>
        <row r="6">
          <cell r="A6" t="str">
            <v>S05</v>
          </cell>
          <cell r="B6" t="str">
            <v>Management</v>
          </cell>
        </row>
        <row r="7">
          <cell r="A7" t="str">
            <v>S06</v>
          </cell>
          <cell r="B7" t="str">
            <v>IT Troubleshooting</v>
          </cell>
        </row>
        <row r="8">
          <cell r="A8" t="str">
            <v>S07</v>
          </cell>
          <cell r="B8" t="str">
            <v>Indian Cuisine</v>
          </cell>
        </row>
        <row r="9">
          <cell r="A9" t="str">
            <v>S08</v>
          </cell>
          <cell r="B9" t="str">
            <v>Story Telling</v>
          </cell>
        </row>
        <row r="10">
          <cell r="A10" t="str">
            <v>S09</v>
          </cell>
          <cell r="B10" t="str">
            <v>Ms excel</v>
          </cell>
        </row>
        <row r="11">
          <cell r="A11" t="str">
            <v>S10</v>
          </cell>
          <cell r="B11" t="str">
            <v>Developer</v>
          </cell>
        </row>
        <row r="12">
          <cell r="A12" t="str">
            <v>S11</v>
          </cell>
          <cell r="B12" t="str">
            <v>AI Ethics</v>
          </cell>
        </row>
      </sheetData>
      <sheetData sheetId="2">
        <row r="2">
          <cell r="J2">
            <v>1</v>
          </cell>
          <cell r="K2" t="str">
            <v>S01</v>
          </cell>
          <cell r="L2">
            <v>5</v>
          </cell>
          <cell r="M2">
            <v>4</v>
          </cell>
        </row>
        <row r="3">
          <cell r="K3" t="str">
            <v>S02</v>
          </cell>
          <cell r="L3">
            <v>5</v>
          </cell>
          <cell r="M3">
            <v>4</v>
          </cell>
        </row>
        <row r="4">
          <cell r="K4" t="str">
            <v>S03</v>
          </cell>
          <cell r="L4">
            <v>5</v>
          </cell>
          <cell r="M4">
            <v>3</v>
          </cell>
        </row>
        <row r="5">
          <cell r="K5" t="str">
            <v>S04</v>
          </cell>
          <cell r="L5">
            <v>5</v>
          </cell>
          <cell r="M5">
            <v>3</v>
          </cell>
        </row>
        <row r="6">
          <cell r="K6" t="str">
            <v>S05</v>
          </cell>
          <cell r="L6">
            <v>5</v>
          </cell>
          <cell r="M6">
            <v>2</v>
          </cell>
        </row>
        <row r="7">
          <cell r="K7" t="str">
            <v>S06</v>
          </cell>
          <cell r="L7">
            <v>5</v>
          </cell>
          <cell r="M7">
            <v>1</v>
          </cell>
        </row>
        <row r="8">
          <cell r="K8" t="str">
            <v>S07</v>
          </cell>
          <cell r="L8">
            <v>5</v>
          </cell>
          <cell r="M8">
            <v>2</v>
          </cell>
        </row>
        <row r="9">
          <cell r="K9" t="str">
            <v>S08</v>
          </cell>
          <cell r="L9">
            <v>5</v>
          </cell>
          <cell r="M9">
            <v>3</v>
          </cell>
        </row>
        <row r="10">
          <cell r="K10" t="str">
            <v>S09</v>
          </cell>
          <cell r="L10">
            <v>5</v>
          </cell>
          <cell r="M10">
            <v>4</v>
          </cell>
        </row>
        <row r="11">
          <cell r="K11" t="str">
            <v>S10</v>
          </cell>
          <cell r="L11">
            <v>5</v>
          </cell>
          <cell r="M11">
            <v>3</v>
          </cell>
        </row>
        <row r="12">
          <cell r="K12" t="str">
            <v>S11</v>
          </cell>
          <cell r="L12">
            <v>5</v>
          </cell>
          <cell r="M12">
            <v>3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I" refreshedDate="45981.385053819446" createdVersion="8" refreshedVersion="8" minRefreshableVersion="3" recordCount="11" xr:uid="{91D08933-6830-42D6-BDA7-428A4CB1AA29}">
  <cacheSource type="worksheet">
    <worksheetSource ref="A1:G12" sheet="Raw Data"/>
  </cacheSource>
  <cacheFields count="7">
    <cacheField name="Emp_id" numFmtId="0">
      <sharedItems containsSemiMixedTypes="0" containsString="0" containsNumber="1" containsInteger="1" minValue="1" maxValue="11"/>
    </cacheField>
    <cacheField name="skill id " numFmtId="0">
      <sharedItems/>
    </cacheField>
    <cacheField name="Skill name" numFmtId="0">
      <sharedItems count="11">
        <s v="Communication"/>
        <s v="Python Programming"/>
        <s v="Media Marketing"/>
        <s v="Cyber security"/>
        <s v="Management"/>
        <s v="IT Troubleshooting"/>
        <s v="Indian Cuisine"/>
        <s v="Story Telling"/>
        <s v="Ms excel"/>
        <s v="Developer"/>
        <s v="AI Ethics"/>
      </sharedItems>
    </cacheField>
    <cacheField name="Depart" numFmtId="0">
      <sharedItems count="11">
        <s v="Marketing"/>
        <s v="IT"/>
        <s v="Ecommerece"/>
        <s v="Cyber"/>
        <s v="Admin"/>
        <s v="Support"/>
        <s v="Food"/>
        <s v="Sales"/>
        <s v="Finance"/>
        <s v="Product Development"/>
        <s v="Artifical Intelligence"/>
      </sharedItems>
    </cacheField>
    <cacheField name="Required Proficiency" numFmtId="0">
      <sharedItems containsSemiMixedTypes="0" containsString="0" containsNumber="1" containsInteger="1" minValue="5" maxValue="5"/>
    </cacheField>
    <cacheField name="Current Proficency" numFmtId="0">
      <sharedItems containsSemiMixedTypes="0" containsString="0" containsNumber="1" containsInteger="1" minValue="1" maxValue="4"/>
    </cacheField>
    <cacheField name="Depart Gap Score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s v="S01"/>
    <x v="0"/>
    <x v="0"/>
    <n v="5"/>
    <n v="4"/>
    <n v="1"/>
  </r>
  <r>
    <n v="2"/>
    <s v="S02"/>
    <x v="1"/>
    <x v="1"/>
    <n v="5"/>
    <n v="4"/>
    <n v="1"/>
  </r>
  <r>
    <n v="3"/>
    <s v="S03"/>
    <x v="2"/>
    <x v="2"/>
    <n v="5"/>
    <n v="3"/>
    <n v="2"/>
  </r>
  <r>
    <n v="4"/>
    <s v="S04"/>
    <x v="3"/>
    <x v="3"/>
    <n v="5"/>
    <n v="3"/>
    <n v="2"/>
  </r>
  <r>
    <n v="5"/>
    <s v="S05"/>
    <x v="4"/>
    <x v="4"/>
    <n v="5"/>
    <n v="2"/>
    <n v="3"/>
  </r>
  <r>
    <n v="6"/>
    <s v="S06"/>
    <x v="5"/>
    <x v="5"/>
    <n v="5"/>
    <n v="1"/>
    <n v="4"/>
  </r>
  <r>
    <n v="7"/>
    <s v="S07"/>
    <x v="6"/>
    <x v="6"/>
    <n v="5"/>
    <n v="2"/>
    <n v="3"/>
  </r>
  <r>
    <n v="8"/>
    <s v="S08"/>
    <x v="7"/>
    <x v="7"/>
    <n v="5"/>
    <n v="3"/>
    <n v="2"/>
  </r>
  <r>
    <n v="9"/>
    <s v="S09"/>
    <x v="8"/>
    <x v="8"/>
    <n v="5"/>
    <n v="4"/>
    <n v="1"/>
  </r>
  <r>
    <n v="10"/>
    <s v="S10"/>
    <x v="9"/>
    <x v="9"/>
    <n v="5"/>
    <n v="3"/>
    <n v="2"/>
  </r>
  <r>
    <n v="11"/>
    <s v="S11"/>
    <x v="10"/>
    <x v="10"/>
    <n v="5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03185-B129-4FED-AF56-BBC41254063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5" firstHeaderRow="1" firstDataRow="1" firstDataCol="1"/>
  <pivotFields count="7">
    <pivotField showAll="0"/>
    <pivotField showAll="0"/>
    <pivotField axis="axisRow" showAll="0">
      <items count="12">
        <item x="10"/>
        <item x="0"/>
        <item x="3"/>
        <item x="9"/>
        <item x="6"/>
        <item x="5"/>
        <item x="4"/>
        <item x="2"/>
        <item x="8"/>
        <item x="1"/>
        <item x="7"/>
        <item t="default"/>
      </items>
    </pivotField>
    <pivotField axis="axisRow" showAll="0" sortType="descending">
      <items count="12">
        <item sd="0" x="5"/>
        <item sd="0" x="7"/>
        <item sd="0" x="9"/>
        <item sd="0" x="0"/>
        <item sd="0" x="1"/>
        <item sd="0" x="6"/>
        <item sd="0" x="8"/>
        <item sd="0" x="2"/>
        <item sd="0" x="3"/>
        <item sd="0" x="10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2">
    <field x="3"/>
    <field x="2"/>
  </rowFields>
  <rowItems count="12">
    <i>
      <x/>
    </i>
    <i>
      <x v="10"/>
    </i>
    <i>
      <x v="5"/>
    </i>
    <i>
      <x v="7"/>
    </i>
    <i>
      <x v="2"/>
    </i>
    <i>
      <x v="8"/>
    </i>
    <i>
      <x v="9"/>
    </i>
    <i>
      <x v="1"/>
    </i>
    <i>
      <x v="4"/>
    </i>
    <i>
      <x v="3"/>
    </i>
    <i>
      <x v="6"/>
    </i>
    <i t="grand">
      <x/>
    </i>
  </rowItems>
  <colItems count="1">
    <i/>
  </colItems>
  <dataFields count="1">
    <dataField name="Sum of Depart Gap Score" fld="6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onditionalFormats count="1">
    <conditionalFormat priority="1">
      <pivotAreas count="11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6"/>
            </reference>
          </references>
        </pivotArea>
      </pivotAreas>
    </conditionalFormat>
  </conditionalFormat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E3EC-8B13-4061-B974-F95E5BD75E50}">
  <dimension ref="A3:B15"/>
  <sheetViews>
    <sheetView tabSelected="1" workbookViewId="0">
      <selection activeCell="B29" sqref="B29"/>
    </sheetView>
  </sheetViews>
  <sheetFormatPr defaultRowHeight="14.4" x14ac:dyDescent="0.3"/>
  <cols>
    <col min="1" max="1" width="21.6640625" bestFit="1" customWidth="1"/>
    <col min="2" max="2" width="22.33203125" bestFit="1" customWidth="1"/>
    <col min="3" max="3" width="17.5546875" bestFit="1" customWidth="1"/>
    <col min="4" max="4" width="12.88671875" bestFit="1" customWidth="1"/>
    <col min="5" max="5" width="9.5546875" bestFit="1" customWidth="1"/>
    <col min="6" max="6" width="12.77734375" bestFit="1" customWidth="1"/>
    <col min="7" max="7" width="16.88671875" bestFit="1" customWidth="1"/>
    <col min="8" max="8" width="12.33203125" bestFit="1" customWidth="1"/>
    <col min="9" max="9" width="15.5546875" bestFit="1" customWidth="1"/>
    <col min="10" max="10" width="8.21875" bestFit="1" customWidth="1"/>
    <col min="11" max="11" width="19.21875" bestFit="1" customWidth="1"/>
    <col min="12" max="12" width="11.33203125" bestFit="1" customWidth="1"/>
    <col min="13" max="13" width="10.77734375" bestFit="1" customWidth="1"/>
  </cols>
  <sheetData>
    <row r="3" spans="1:2" x14ac:dyDescent="0.3">
      <c r="A3" s="2" t="s">
        <v>30</v>
      </c>
      <c r="B3" s="3" t="s">
        <v>29</v>
      </c>
    </row>
    <row r="4" spans="1:2" x14ac:dyDescent="0.3">
      <c r="A4" s="4" t="s">
        <v>27</v>
      </c>
      <c r="B4" s="5">
        <v>4</v>
      </c>
    </row>
    <row r="5" spans="1:2" x14ac:dyDescent="0.3">
      <c r="A5" s="4" t="s">
        <v>18</v>
      </c>
      <c r="B5" s="5">
        <v>3</v>
      </c>
    </row>
    <row r="6" spans="1:2" x14ac:dyDescent="0.3">
      <c r="A6" s="4" t="s">
        <v>22</v>
      </c>
      <c r="B6" s="5">
        <v>3</v>
      </c>
    </row>
    <row r="7" spans="1:2" x14ac:dyDescent="0.3">
      <c r="A7" s="4" t="s">
        <v>31</v>
      </c>
      <c r="B7" s="5">
        <v>2</v>
      </c>
    </row>
    <row r="8" spans="1:2" x14ac:dyDescent="0.3">
      <c r="A8" s="4" t="s">
        <v>25</v>
      </c>
      <c r="B8" s="5">
        <v>2</v>
      </c>
    </row>
    <row r="9" spans="1:2" x14ac:dyDescent="0.3">
      <c r="A9" s="4" t="s">
        <v>20</v>
      </c>
      <c r="B9" s="5">
        <v>2</v>
      </c>
    </row>
    <row r="10" spans="1:2" x14ac:dyDescent="0.3">
      <c r="A10" s="4" t="s">
        <v>19</v>
      </c>
      <c r="B10" s="5">
        <v>2</v>
      </c>
    </row>
    <row r="11" spans="1:2" x14ac:dyDescent="0.3">
      <c r="A11" s="4" t="s">
        <v>26</v>
      </c>
      <c r="B11" s="5">
        <v>2</v>
      </c>
    </row>
    <row r="12" spans="1:2" x14ac:dyDescent="0.3">
      <c r="A12" s="4" t="s">
        <v>23</v>
      </c>
      <c r="B12" s="5">
        <v>1</v>
      </c>
    </row>
    <row r="13" spans="1:2" x14ac:dyDescent="0.3">
      <c r="A13" s="4" t="s">
        <v>24</v>
      </c>
      <c r="B13" s="5">
        <v>1</v>
      </c>
    </row>
    <row r="14" spans="1:2" x14ac:dyDescent="0.3">
      <c r="A14" s="4" t="s">
        <v>21</v>
      </c>
      <c r="B14" s="5">
        <v>1</v>
      </c>
    </row>
    <row r="15" spans="1:2" x14ac:dyDescent="0.3">
      <c r="A15" s="4" t="s">
        <v>28</v>
      </c>
      <c r="B15" s="5">
        <v>23</v>
      </c>
    </row>
  </sheetData>
  <conditionalFormatting sqref="A4:A6">
    <cfRule type="containsText" dxfId="7" priority="5" operator="containsText" text="Support">
      <formula>NOT(ISERROR(SEARCH("Support",A4)))</formula>
    </cfRule>
  </conditionalFormatting>
  <conditionalFormatting sqref="A5">
    <cfRule type="containsText" dxfId="6" priority="4" operator="containsText" text="Admin">
      <formula>NOT(ISERROR(SEARCH("Admin",A5)))</formula>
    </cfRule>
  </conditionalFormatting>
  <conditionalFormatting sqref="A6">
    <cfRule type="containsText" dxfId="5" priority="3" operator="containsText" text="Food">
      <formula>NOT(ISERROR(SEARCH("Food",A6)))</formula>
    </cfRule>
  </conditionalFormatting>
  <conditionalFormatting pivot="1" sqref="B4 B5 B6 B7 B8 B9 B10 B11 B12 B13 B14">
    <cfRule type="cellIs" dxfId="0" priority="1" operator="between">
      <formula>3</formula>
      <formula>4</formula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6149-7AAA-46FB-B90D-72DA6B98A4D4}">
  <dimension ref="A1:G12"/>
  <sheetViews>
    <sheetView workbookViewId="0">
      <selection sqref="A1:G12"/>
    </sheetView>
  </sheetViews>
  <sheetFormatPr defaultRowHeight="14.4" x14ac:dyDescent="0.3"/>
  <cols>
    <col min="3" max="3" width="18.109375" bestFit="1" customWidth="1"/>
    <col min="4" max="4" width="18.88671875" bestFit="1" customWidth="1"/>
    <col min="5" max="5" width="17.88671875" bestFit="1" customWidth="1"/>
    <col min="6" max="6" width="16.21875" bestFit="1" customWidth="1"/>
    <col min="7" max="7" width="15.33203125" bestFit="1" customWidth="1"/>
  </cols>
  <sheetData>
    <row r="1" spans="1:7" x14ac:dyDescent="0.3">
      <c r="A1" s="6" t="s">
        <v>17</v>
      </c>
      <c r="B1" s="6" t="s">
        <v>5</v>
      </c>
      <c r="C1" s="6" t="s">
        <v>1</v>
      </c>
      <c r="D1" s="6" t="s">
        <v>0</v>
      </c>
      <c r="E1" s="6" t="s">
        <v>2</v>
      </c>
      <c r="F1" s="6" t="s">
        <v>3</v>
      </c>
      <c r="G1" s="6" t="s">
        <v>4</v>
      </c>
    </row>
    <row r="2" spans="1:7" ht="16.8" x14ac:dyDescent="0.3">
      <c r="A2" s="7" cm="1">
        <f t="array" ref="A2:A12">_xlfn.SEQUENCE(11)</f>
        <v>1</v>
      </c>
      <c r="B2" s="1" t="s">
        <v>7</v>
      </c>
      <c r="C2" s="7" t="str">
        <f>_xlfn.XLOOKUP(B2,[1]Skills!$A$2:$A$12,[1]Skills!$B$2:$B$12,"Not Found")</f>
        <v>Communication</v>
      </c>
      <c r="D2" s="7" t="str">
        <f>_xlfn.XLOOKUP(A2,[1]Emps!$A$2:$A$12,[1]Emps!$D$2:$D$12,"Not Found")</f>
        <v>Marketing</v>
      </c>
      <c r="E2" s="7">
        <f>_xlfn.XLOOKUP(B2,[1]Emp_skills!$K$2:$K$12,[1]Emp_skills!$L$2:$L$12)</f>
        <v>5</v>
      </c>
      <c r="F2" s="7">
        <f>_xlfn.XLOOKUP(B2,[1]Emp_skills!$K$2:$K$12,[1]Emp_skills!$M$2:$M$12)</f>
        <v>4</v>
      </c>
      <c r="G2" s="7">
        <f>E2-F2</f>
        <v>1</v>
      </c>
    </row>
    <row r="3" spans="1:7" ht="16.8" x14ac:dyDescent="0.3">
      <c r="A3" s="7">
        <v>2</v>
      </c>
      <c r="B3" s="1" t="s">
        <v>8</v>
      </c>
      <c r="C3" s="7" t="str">
        <f>_xlfn.XLOOKUP(B3,[1]Skills!$A$2:$A$12,[1]Skills!$B$2:$B$12,"Not Found")</f>
        <v>Python Programming</v>
      </c>
      <c r="D3" s="7" t="str">
        <f>_xlfn.XLOOKUP(A3,[1]Emps!$A$2:$A$12,[1]Emps!$D$2:$D$12,"Not Found")</f>
        <v>IT</v>
      </c>
      <c r="E3" s="7">
        <f>_xlfn.XLOOKUP(B3,[1]Emp_skills!$K$2:$K$12,[1]Emp_skills!$L$2:$L$12)</f>
        <v>5</v>
      </c>
      <c r="F3" s="7">
        <f>_xlfn.XLOOKUP(B3,[1]Emp_skills!$K$2:$K$12,[1]Emp_skills!$M$2:$M$12)</f>
        <v>4</v>
      </c>
      <c r="G3" s="7">
        <f t="shared" ref="G3:G12" si="0">E3-F3</f>
        <v>1</v>
      </c>
    </row>
    <row r="4" spans="1:7" ht="16.8" x14ac:dyDescent="0.3">
      <c r="A4" s="7">
        <v>3</v>
      </c>
      <c r="B4" s="1" t="s">
        <v>9</v>
      </c>
      <c r="C4" s="7" t="str">
        <f>_xlfn.XLOOKUP(B4,[1]Skills!$A$2:$A$12,[1]Skills!$B$2:$B$12,"Not Found")</f>
        <v>Media Marketing</v>
      </c>
      <c r="D4" s="7" t="str">
        <f>_xlfn.XLOOKUP(A4,[1]Emps!$A$2:$A$12,[1]Emps!$D$2:$D$12,"Not Found")</f>
        <v>Ecommerece</v>
      </c>
      <c r="E4" s="7">
        <f>_xlfn.XLOOKUP(B4,[1]Emp_skills!$K$2:$K$12,[1]Emp_skills!$L$2:$L$12)</f>
        <v>5</v>
      </c>
      <c r="F4" s="7">
        <f>_xlfn.XLOOKUP(B4,[1]Emp_skills!$K$2:$K$12,[1]Emp_skills!$M$2:$M$12)</f>
        <v>3</v>
      </c>
      <c r="G4" s="7">
        <f t="shared" si="0"/>
        <v>2</v>
      </c>
    </row>
    <row r="5" spans="1:7" ht="16.8" x14ac:dyDescent="0.3">
      <c r="A5" s="7">
        <v>4</v>
      </c>
      <c r="B5" s="1" t="s">
        <v>10</v>
      </c>
      <c r="C5" s="7" t="str">
        <f>_xlfn.XLOOKUP(B5,[1]Skills!$A$2:$A$12,[1]Skills!$B$2:$B$12,"Not Found")</f>
        <v>Cyber security</v>
      </c>
      <c r="D5" s="7" t="str">
        <f>_xlfn.XLOOKUP(A5,[1]Emps!$A$2:$A$12,[1]Emps!$D$2:$D$12,"Not Found")</f>
        <v>Cyber</v>
      </c>
      <c r="E5" s="7">
        <f>_xlfn.XLOOKUP(B5,[1]Emp_skills!$K$2:$K$12,[1]Emp_skills!$L$2:$L$12)</f>
        <v>5</v>
      </c>
      <c r="F5" s="7">
        <f>_xlfn.XLOOKUP(B5,[1]Emp_skills!$K$2:$K$12,[1]Emp_skills!$M$2:$M$12)</f>
        <v>3</v>
      </c>
      <c r="G5" s="7">
        <f t="shared" si="0"/>
        <v>2</v>
      </c>
    </row>
    <row r="6" spans="1:7" ht="16.8" x14ac:dyDescent="0.3">
      <c r="A6" s="7">
        <v>5</v>
      </c>
      <c r="B6" s="1" t="s">
        <v>11</v>
      </c>
      <c r="C6" s="7" t="str">
        <f>_xlfn.XLOOKUP(B6,[1]Skills!$A$2:$A$12,[1]Skills!$B$2:$B$12,"Not Found")</f>
        <v>Management</v>
      </c>
      <c r="D6" s="7" t="str">
        <f>_xlfn.XLOOKUP(A6,[1]Emps!$A$2:$A$12,[1]Emps!$D$2:$D$12,"Not Found")</f>
        <v>Admin</v>
      </c>
      <c r="E6" s="7">
        <f>_xlfn.XLOOKUP(B6,[1]Emp_skills!$K$2:$K$12,[1]Emp_skills!$L$2:$L$12)</f>
        <v>5</v>
      </c>
      <c r="F6" s="7">
        <f>_xlfn.XLOOKUP(B6,[1]Emp_skills!$K$2:$K$12,[1]Emp_skills!$M$2:$M$12)</f>
        <v>2</v>
      </c>
      <c r="G6" s="7">
        <f t="shared" si="0"/>
        <v>3</v>
      </c>
    </row>
    <row r="7" spans="1:7" ht="16.8" x14ac:dyDescent="0.3">
      <c r="A7" s="7">
        <v>6</v>
      </c>
      <c r="B7" s="1" t="s">
        <v>12</v>
      </c>
      <c r="C7" s="7" t="str">
        <f>_xlfn.XLOOKUP(B7,[1]Skills!$A$2:$A$12,[1]Skills!$B$2:$B$12,"Not Found")</f>
        <v>IT Troubleshooting</v>
      </c>
      <c r="D7" s="7" t="str">
        <f>_xlfn.XLOOKUP(A7,[1]Emps!$A$2:$A$12,[1]Emps!$D$2:$D$12,"Not Found")</f>
        <v>Support</v>
      </c>
      <c r="E7" s="7">
        <f>_xlfn.XLOOKUP(B7,[1]Emp_skills!$K$2:$K$12,[1]Emp_skills!$L$2:$L$12)</f>
        <v>5</v>
      </c>
      <c r="F7" s="7">
        <f>_xlfn.XLOOKUP(B7,[1]Emp_skills!$K$2:$K$12,[1]Emp_skills!$M$2:$M$12)</f>
        <v>1</v>
      </c>
      <c r="G7" s="7">
        <f t="shared" si="0"/>
        <v>4</v>
      </c>
    </row>
    <row r="8" spans="1:7" ht="16.8" x14ac:dyDescent="0.3">
      <c r="A8" s="7">
        <v>7</v>
      </c>
      <c r="B8" s="1" t="s">
        <v>13</v>
      </c>
      <c r="C8" s="7" t="str">
        <f>_xlfn.XLOOKUP(B8,[1]Skills!$A$2:$A$12,[1]Skills!$B$2:$B$12,"Not Found")</f>
        <v>Indian Cuisine</v>
      </c>
      <c r="D8" s="7" t="str">
        <f>_xlfn.XLOOKUP(A8,[1]Emps!$A$2:$A$12,[1]Emps!$D$2:$D$12,"Not Found")</f>
        <v>Food</v>
      </c>
      <c r="E8" s="7">
        <f>_xlfn.XLOOKUP(B8,[1]Emp_skills!$K$2:$K$12,[1]Emp_skills!$L$2:$L$12)</f>
        <v>5</v>
      </c>
      <c r="F8" s="7">
        <f>_xlfn.XLOOKUP(B8,[1]Emp_skills!$K$2:$K$12,[1]Emp_skills!$M$2:$M$12)</f>
        <v>2</v>
      </c>
      <c r="G8" s="7">
        <f t="shared" si="0"/>
        <v>3</v>
      </c>
    </row>
    <row r="9" spans="1:7" ht="16.8" x14ac:dyDescent="0.3">
      <c r="A9" s="7">
        <v>8</v>
      </c>
      <c r="B9" s="1" t="s">
        <v>14</v>
      </c>
      <c r="C9" s="7" t="str">
        <f>_xlfn.XLOOKUP(B9,[1]Skills!$A$2:$A$12,[1]Skills!$B$2:$B$12,"Not Found")</f>
        <v>Story Telling</v>
      </c>
      <c r="D9" s="7" t="str">
        <f>_xlfn.XLOOKUP(A9,[1]Emps!$A$2:$A$12,[1]Emps!$D$2:$D$12,"Not Found")</f>
        <v>Sales</v>
      </c>
      <c r="E9" s="7">
        <f>_xlfn.XLOOKUP(B9,[1]Emp_skills!$K$2:$K$12,[1]Emp_skills!$L$2:$L$12)</f>
        <v>5</v>
      </c>
      <c r="F9" s="7">
        <f>_xlfn.XLOOKUP(B9,[1]Emp_skills!$K$2:$K$12,[1]Emp_skills!$M$2:$M$12)</f>
        <v>3</v>
      </c>
      <c r="G9" s="7">
        <f t="shared" si="0"/>
        <v>2</v>
      </c>
    </row>
    <row r="10" spans="1:7" ht="16.8" x14ac:dyDescent="0.3">
      <c r="A10" s="7">
        <v>9</v>
      </c>
      <c r="B10" s="1" t="s">
        <v>15</v>
      </c>
      <c r="C10" s="7" t="str">
        <f>_xlfn.XLOOKUP(B10,[1]Skills!$A$2:$A$12,[1]Skills!$B$2:$B$12,"Not Found")</f>
        <v>Ms excel</v>
      </c>
      <c r="D10" s="7" t="str">
        <f>_xlfn.XLOOKUP(A10,[1]Emps!$A$2:$A$12,[1]Emps!$D$2:$D$12,"Not Found")</f>
        <v>Finance</v>
      </c>
      <c r="E10" s="7">
        <f>_xlfn.XLOOKUP(B10,[1]Emp_skills!$K$2:$K$12,[1]Emp_skills!$L$2:$L$12)</f>
        <v>5</v>
      </c>
      <c r="F10" s="7">
        <f>_xlfn.XLOOKUP(B10,[1]Emp_skills!$K$2:$K$12,[1]Emp_skills!$M$2:$M$12)</f>
        <v>4</v>
      </c>
      <c r="G10" s="7">
        <f t="shared" si="0"/>
        <v>1</v>
      </c>
    </row>
    <row r="11" spans="1:7" ht="16.8" x14ac:dyDescent="0.3">
      <c r="A11" s="7">
        <v>10</v>
      </c>
      <c r="B11" s="1" t="s">
        <v>16</v>
      </c>
      <c r="C11" s="7" t="str">
        <f>_xlfn.XLOOKUP(B11,[1]Skills!$A$2:$A$12,[1]Skills!$B$2:$B$12,"Not Found")</f>
        <v>Developer</v>
      </c>
      <c r="D11" s="7" t="str">
        <f>_xlfn.XLOOKUP(A11,[1]Emps!$A$2:$A$12,[1]Emps!$D$2:$D$12,"Not Found")</f>
        <v>Product Development</v>
      </c>
      <c r="E11" s="7">
        <f>_xlfn.XLOOKUP(B11,[1]Emp_skills!$K$2:$K$12,[1]Emp_skills!$L$2:$L$12)</f>
        <v>5</v>
      </c>
      <c r="F11" s="7">
        <f>_xlfn.XLOOKUP(B11,[1]Emp_skills!$K$2:$K$12,[1]Emp_skills!$M$2:$M$12)</f>
        <v>3</v>
      </c>
      <c r="G11" s="7">
        <f t="shared" si="0"/>
        <v>2</v>
      </c>
    </row>
    <row r="12" spans="1:7" ht="16.8" x14ac:dyDescent="0.3">
      <c r="A12" s="7">
        <v>11</v>
      </c>
      <c r="B12" s="1" t="s">
        <v>6</v>
      </c>
      <c r="C12" s="7" t="str">
        <f>_xlfn.XLOOKUP(B12,[1]Skills!$A$2:$A$12,[1]Skills!$B$2:$B$12,"Not Found")</f>
        <v>AI Ethics</v>
      </c>
      <c r="D12" s="7" t="str">
        <f>_xlfn.XLOOKUP(A12,[1]Emps!$A$2:$A$12,[1]Emps!$D$2:$D$12,"Not Found")</f>
        <v>Artifical Intelligence</v>
      </c>
      <c r="E12" s="7">
        <f>_xlfn.XLOOKUP(B12,[1]Emp_skills!$K$2:$K$12,[1]Emp_skills!$L$2:$L$12)</f>
        <v>5</v>
      </c>
      <c r="F12" s="7">
        <f>_xlfn.XLOOKUP(B12,[1]Emp_skills!$K$2:$K$12,[1]Emp_skills!$M$2:$M$12)</f>
        <v>3</v>
      </c>
      <c r="G12" s="7">
        <f t="shared" si="0"/>
        <v>2</v>
      </c>
    </row>
  </sheetData>
  <conditionalFormatting sqref="G2:G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3-Skill-Gap Analysis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Tanushri Kale</dc:creator>
  <cp:lastModifiedBy>Tanushri Kale</cp:lastModifiedBy>
  <dcterms:created xsi:type="dcterms:W3CDTF">2025-11-19T18:57:25Z</dcterms:created>
  <dcterms:modified xsi:type="dcterms:W3CDTF">2025-11-20T15:06:46Z</dcterms:modified>
</cp:coreProperties>
</file>